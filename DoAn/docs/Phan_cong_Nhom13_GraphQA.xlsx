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AI Tool\"/>
    </mc:Choice>
  </mc:AlternateContent>
  <xr:revisionPtr revIDLastSave="0" documentId="13_ncr:1_{F946079F-BC5F-4894-95E0-300F3481FF8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Hướng dẫn" sheetId="1" r:id="rId1"/>
    <sheet name="Phân công" sheetId="2" r:id="rId2"/>
    <sheet name="Timeline" sheetId="3" r:id="rId3"/>
    <sheet name="Tổng hợp" sheetId="4" r:id="rId4"/>
    <sheet name="Thành viên" sheetId="5" r:id="rId5"/>
  </sheets>
  <definedNames>
    <definedName name="_xlnm._FilterDatabase" localSheetId="1" hidden="1">'Phân công'!$A$1:$M$44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D7" i="4"/>
  <c r="G7" i="4" s="1"/>
  <c r="C7" i="4"/>
  <c r="B7" i="4"/>
  <c r="E6" i="4"/>
  <c r="D6" i="4"/>
  <c r="C6" i="4"/>
  <c r="B6" i="4"/>
  <c r="E5" i="4"/>
  <c r="D5" i="4"/>
  <c r="G5" i="4" s="1"/>
  <c r="C5" i="4"/>
  <c r="B5" i="4"/>
  <c r="E4" i="4"/>
  <c r="D4" i="4"/>
  <c r="G4" i="4" s="1"/>
  <c r="C4" i="4"/>
  <c r="B4" i="4"/>
  <c r="E3" i="4"/>
  <c r="D3" i="4"/>
  <c r="G3" i="4" s="1"/>
  <c r="C3" i="4"/>
  <c r="B3" i="4"/>
  <c r="B8" i="4" s="1"/>
  <c r="E2" i="4"/>
  <c r="D2" i="4"/>
  <c r="G2" i="4" s="1"/>
  <c r="C2" i="4"/>
  <c r="B2" i="4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A9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A8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A6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A5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4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G6" i="4" l="1"/>
  <c r="C8" i="4"/>
  <c r="E8" i="4"/>
  <c r="F3" i="4"/>
  <c r="F6" i="4"/>
  <c r="F4" i="4"/>
  <c r="F7" i="4"/>
  <c r="D8" i="4"/>
  <c r="F2" i="4"/>
  <c r="F5" i="4"/>
  <c r="F8" i="4" l="1"/>
  <c r="G8" i="4"/>
  <c r="H5" i="4"/>
  <c r="H2" i="4"/>
  <c r="H7" i="4"/>
  <c r="H4" i="4"/>
  <c r="H6" i="4"/>
  <c r="H3" i="4"/>
  <c r="H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Nhóm 13</author>
  </authors>
  <commentList>
    <comment ref="J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Giờ ước tính là số dự kiến để cân bằng khối lượng; cập nhật theo thực tế.</t>
        </r>
      </text>
    </comment>
  </commentList>
</comments>
</file>

<file path=xl/sharedStrings.xml><?xml version="1.0" encoding="utf-8"?>
<sst xmlns="http://schemas.openxmlformats.org/spreadsheetml/2006/main" count="505" uniqueCount="243">
  <si>
    <t>Phân công công việc – Nhóm 13 – A.22 Graph-Based QA Tool</t>
  </si>
  <si>
    <t>Môn IS353.R11 · GVHD: Trần Hưng Nghiệp · Thời gian: 21/9/2026 – 27/12/2026 (14 tuần)</t>
  </si>
  <si>
    <t>Các sheet</t>
  </si>
  <si>
    <t>• Phân công: danh sách công việc, người phụ trách, người review, giờ ước tính, trạng thái.</t>
  </si>
  <si>
    <t>• Timeline: biểu đồ Gantt theo tuần, tự tô màu theo người phụ trách (lấy ngày từ sheet Phân công).</t>
  </si>
  <si>
    <t>• Tổng hợp: số việc, tổng giờ, giờ đã xong / còn lại của từng người (tự tính bằng công thức).</t>
  </si>
  <si>
    <t>• Thành viên: thông tin và vai trò chính.</t>
  </si>
  <si>
    <t>Cách cập nhật</t>
  </si>
  <si>
    <t>• Chỉ sửa các ô nền vàng nhạt: Trạng thái, Giờ ước tính, Ghi chú (sheet Phân công).</t>
  </si>
  <si>
    <t>• Trạng thái chọn từ danh sách: Chưa bắt đầu / Đang làm / Xong / Trễ hạn.</t>
  </si>
  <si>
    <t>• Thêm việc mới: chèn dòng trong bảng Phân công và điền đủ các cột; sheet Tổng hợp tự cập nhật.</t>
  </si>
  <si>
    <t>• Đổi ngày: sửa cột Bắt đầu / Kết thúc; Timeline tự vẽ lại.</t>
  </si>
  <si>
    <t>Giả định</t>
  </si>
  <si>
    <t>• Tuần 1 bắt đầu thứ Hai 21/9/2026 (tuần nhóm nạp dữ liệu); khớp mốc 9/2026 – 12/2026 trong proposal.</t>
  </si>
  <si>
    <t>• Giờ ước tính là con số dự kiến để cân bằng khối lượng, cần điều chỉnh theo thực tế.</t>
  </si>
  <si>
    <t>• Phân công là đề xuất, cả nhóm xem lại và thống nhất trước khi áp dụng.</t>
  </si>
  <si>
    <t>ID</t>
  </si>
  <si>
    <t>Tuần</t>
  </si>
  <si>
    <t>Bắt đầu</t>
  </si>
  <si>
    <t>Kết thúc</t>
  </si>
  <si>
    <t>Hạng mục</t>
  </si>
  <si>
    <t>Công việc</t>
  </si>
  <si>
    <t>Phụ trách</t>
  </si>
  <si>
    <t>Review / Hỗ trợ</t>
  </si>
  <si>
    <t>Mức kỹ thuật</t>
  </si>
  <si>
    <t>Giờ ước tính</t>
  </si>
  <si>
    <t>Sản phẩm bàn giao</t>
  </si>
  <si>
    <t>Trạng thái</t>
  </si>
  <si>
    <t>Ghi chú</t>
  </si>
  <si>
    <t>T01</t>
  </si>
  <si>
    <t>1</t>
  </si>
  <si>
    <t>Dữ liệu</t>
  </si>
  <si>
    <t>Khảo sát đề tài, chọn dataset, cài Neo4j, nạp LDBC SF0.1, thống kê dữ liệu</t>
  </si>
  <si>
    <t>Bảo</t>
  </si>
  <si>
    <t>Cao</t>
  </si>
  <si>
    <t>scripts/load_ldbc.py, results/graph_stats.md</t>
  </si>
  <si>
    <t>Xong</t>
  </si>
  <si>
    <t>T02</t>
  </si>
  <si>
    <t>2</t>
  </si>
  <si>
    <t>Proposal</t>
  </si>
  <si>
    <t>Viết proposal v1, related work, chuẩn bị buổi review</t>
  </si>
  <si>
    <t>Cả nhóm</t>
  </si>
  <si>
    <t>Thấp</t>
  </si>
  <si>
    <t>Proposal v1</t>
  </si>
  <si>
    <t>T03</t>
  </si>
  <si>
    <t>Biên tập, rà soát chính tả và định dạng proposal v1</t>
  </si>
  <si>
    <t>Hương</t>
  </si>
  <si>
    <t>Proposal v1 đã rà soát</t>
  </si>
  <si>
    <t>T04</t>
  </si>
  <si>
    <t>3</t>
  </si>
  <si>
    <t>Sửa proposal v2 theo feedback (guideline Q/A, baseline mạnh, chống rò rỉ, Groq, Appendix 3)</t>
  </si>
  <si>
    <t>Proposal v2</t>
  </si>
  <si>
    <t>Đang làm</t>
  </si>
  <si>
    <t>T05</t>
  </si>
  <si>
    <t>Hạ tầng</t>
  </si>
  <si>
    <t>Dựng Neo4j server chung (Docker) + mạng Tailscale; viết hướng dẫn kết nối cho nhóm</t>
  </si>
  <si>
    <t>Khôi</t>
  </si>
  <si>
    <t>Server chạy + hướng dẫn kết nối</t>
  </si>
  <si>
    <t>Chưa bắt đầu</t>
  </si>
  <si>
    <t>T06</t>
  </si>
  <si>
    <t>Bộ câu hỏi QA</t>
  </si>
  <si>
    <t>Phổ biến guideline QA cho nhóm, ghi nhận và cập nhật quy ước khi có thắc mắc</t>
  </si>
  <si>
    <t>eval/QA_GUIDELINE.md cập nhật</t>
  </si>
  <si>
    <t>T07</t>
  </si>
  <si>
    <t>3–4</t>
  </si>
  <si>
    <t>Template + Cypher gold loại lookup; kiểm tra chéo 20% câu của Khôi</t>
  </si>
  <si>
    <t>Ân</t>
  </si>
  <si>
    <t>Trung bình</t>
  </si>
  <si>
    <t>Template lookup</t>
  </si>
  <si>
    <t>T08</t>
  </si>
  <si>
    <t>Template + Cypher gold loại aggregation; kiểm tra chéo 20% câu của Vũ</t>
  </si>
  <si>
    <t>Bằng</t>
  </si>
  <si>
    <t>Vũ</t>
  </si>
  <si>
    <t>Template aggregation</t>
  </si>
  <si>
    <t>T09</t>
  </si>
  <si>
    <t>Template + Cypher gold loại multi_hop; kiểm tra chéo 20% câu của Bằng</t>
  </si>
  <si>
    <t>Template multi_hop</t>
  </si>
  <si>
    <t>T10</t>
  </si>
  <si>
    <t>Template + Cypher gold loại path; kiểm tra chéo 20% câu của Bảo</t>
  </si>
  <si>
    <t>Template path</t>
  </si>
  <si>
    <t>T11</t>
  </si>
  <si>
    <t>Template + Cypher gold loại temporal; kiểm tra chéo 20% câu của Ân</t>
  </si>
  <si>
    <t>Template temporal</t>
  </si>
  <si>
    <t>T12</t>
  </si>
  <si>
    <t>Viết 2–3 cách diễn đạt tự nhiên cho mọi template; rà soát câu hỏi không lộ tên nhãn/thuộc tính kỹ thuật</t>
  </si>
  <si>
    <t>Bảng câu hỏi đã diễn đạt lại</t>
  </si>
  <si>
    <t>T13</t>
  </si>
  <si>
    <t>4</t>
  </si>
  <si>
    <t>Script sinh câu (seed cố định), lọc tự động, chia dev/test theo template, đóng băng test (SHA-256)</t>
  </si>
  <si>
    <t>dev.json, test.json + mã băm</t>
  </si>
  <si>
    <t>T14</t>
  </si>
  <si>
    <t>Tổng hợp kết quả kiểm tra chéo, tính tỉ lệ đồng thuận theo loại, theo dõi câu cần sửa/loại</t>
  </si>
  <si>
    <t>Bảng đồng thuận</t>
  </si>
  <si>
    <t>T15</t>
  </si>
  <si>
    <t>5</t>
  </si>
  <si>
    <t>Baseline</t>
  </si>
  <si>
    <t>Tạo key Groq, chốt ID model; thêm backend Groq + timeout vào pipeline đánh giá; chạy B1</t>
  </si>
  <si>
    <t>Kết quả B1 trên dev</t>
  </si>
  <si>
    <t>T16</t>
  </si>
  <si>
    <t>B0 rule-based (luật chỉ viết dựa trên tập dev)</t>
  </si>
  <si>
    <t>Module B0</t>
  </si>
  <si>
    <t>T17</t>
  </si>
  <si>
    <t>B2 GraphCypherQAChain (langchain-neo4j), cùng model với B1</t>
  </si>
  <si>
    <t>Module B2</t>
  </si>
  <si>
    <t>T18</t>
  </si>
  <si>
    <t>Kiểm thử bộ chấm điểm (hàm judge) và bộ kiểm tra Cypher gold bằng các ca biên</t>
  </si>
  <si>
    <t>Unit test chấm điểm</t>
  </si>
  <si>
    <t>T19</t>
  </si>
  <si>
    <t>Cập nhật số câu dev/test thật vào Appendix 3 của proposal</t>
  </si>
  <si>
    <t>Proposal cập nhật</t>
  </si>
  <si>
    <t>T20</t>
  </si>
  <si>
    <t>6–8</t>
  </si>
  <si>
    <t>Proposed</t>
  </si>
  <si>
    <t>(A) Schema chi tiết: thuộc tính theo nhãn, chiều cạnh, giá trị mẫu, quy ước</t>
  </si>
  <si>
    <t>Module A</t>
  </si>
  <si>
    <t>T21</t>
  </si>
  <si>
    <t>(B) Liên kết thực thể: full-text index, chuẩn hóa tên, phát hiện trùng tên</t>
  </si>
  <si>
    <t>Module B</t>
  </si>
  <si>
    <t>T22</t>
  </si>
  <si>
    <t>(C) Few-shot động: chọn k = 3 ví dụ dev gần nhất</t>
  </si>
  <si>
    <t>Module C</t>
  </si>
  <si>
    <t>T23</t>
  </si>
  <si>
    <t>(D) Tự sửa lỗi (tối đa 2 lần, không dùng gold) + sinh câu trả lời</t>
  </si>
  <si>
    <t>Module D</t>
  </si>
  <si>
    <t>T24</t>
  </si>
  <si>
    <t>Tích hợp pipeline đề xuất (A–D), review code, chạy thử trên dev</t>
  </si>
  <si>
    <t>Pipeline hoàn chỉnh</t>
  </si>
  <si>
    <t>T25</t>
  </si>
  <si>
    <t>Báo cáo</t>
  </si>
  <si>
    <t>Viết mục Related work và Data cho báo cáo cuối kỳ; soạn tiêu chí chấm tay câu trả lời</t>
  </si>
  <si>
    <t>Bản nháp 2 mục + tiêu chí chấm</t>
  </si>
  <si>
    <t>T26</t>
  </si>
  <si>
    <t>9</t>
  </si>
  <si>
    <t>Thí nghiệm</t>
  </si>
  <si>
    <t>Script chạy thí nghiệm theo lô: cache output, chạy tiếp khi bị dừng, tôn trọng hạn mức Groq</t>
  </si>
  <si>
    <t>Batch runner</t>
  </si>
  <si>
    <t>T27</t>
  </si>
  <si>
    <t>9–10</t>
  </si>
  <si>
    <t>E1 so sánh chính + B3 (Llama-3.3-70B, gpt-oss-120b), 3 lần chạy; quản lý hạn mức Groq, cache</t>
  </si>
  <si>
    <t>Kết quả E1</t>
  </si>
  <si>
    <t>T28</t>
  </si>
  <si>
    <t>E2 ablation (bỏ lần lượt A, B, C, D), 3 lần chạy</t>
  </si>
  <si>
    <t>Kết quả E2</t>
  </si>
  <si>
    <t>T29</t>
  </si>
  <si>
    <t>E3 áp dụng pipeline lên Llama-3.3-70B, 3 lần chạy</t>
  </si>
  <si>
    <t>Kết quả E3</t>
  </si>
  <si>
    <t>T30</t>
  </si>
  <si>
    <t>Đánh giá</t>
  </si>
  <si>
    <t>Chấm tay độ trung thực 50 câu trả lời văn bản theo tiêu chí</t>
  </si>
  <si>
    <t>Bảng chấm tay</t>
  </si>
  <si>
    <t>T31</t>
  </si>
  <si>
    <t>Tổng hợp số liệu E1–E3 thành bảng và biểu đồ (Excel)</t>
  </si>
  <si>
    <t>Bảng + biểu đồ kết quả</t>
  </si>
  <si>
    <t>T32</t>
  </si>
  <si>
    <t>11</t>
  </si>
  <si>
    <t>Giao diện</t>
  </si>
  <si>
    <t>Giao diện chat Streamlit: câu trả lời, Cypher sinh ra, kết quả truy vấn</t>
  </si>
  <si>
    <t>app Streamlit</t>
  </si>
  <si>
    <t>T33</t>
  </si>
  <si>
    <t>Phân tích lỗi</t>
  </si>
  <si>
    <t>E4: gán nhãn nhóm lỗi cho các câu sai của B1, Proposed, B3 theo bảng phân loại</t>
  </si>
  <si>
    <t>Bảng gán nhãn lỗi</t>
  </si>
  <si>
    <t>T34</t>
  </si>
  <si>
    <t>E4: phân tích nguyên nhân kỹ thuật từng nhóm lỗi, đề xuất cải tiến</t>
  </si>
  <si>
    <t>Mục phân tích lỗi</t>
  </si>
  <si>
    <t>T35</t>
  </si>
  <si>
    <t>12</t>
  </si>
  <si>
    <t>Dự phòng</t>
  </si>
  <si>
    <t>Chạy lại thí nghiệm lỗi, sửa bug, demo nội bộ (cả nhóm tham gia)</t>
  </si>
  <si>
    <t>Bản ổn định</t>
  </si>
  <si>
    <t>T36</t>
  </si>
  <si>
    <t>13–14</t>
  </si>
  <si>
    <t>Chủ trì biên tập báo cáo cuối kỳ và slide; thống nhất định dạng, trích dẫn</t>
  </si>
  <si>
    <t>Báo cáo + slide</t>
  </si>
  <si>
    <t>T37</t>
  </si>
  <si>
    <t>Viết mục Method/Experiments và kết luận</t>
  </si>
  <si>
    <t>Mục báo cáo</t>
  </si>
  <si>
    <t>T38</t>
  </si>
  <si>
    <t>Viết mục báo cáo cho phần mình phụ trách (B0, B2, C, E3)</t>
  </si>
  <si>
    <t>T39</t>
  </si>
  <si>
    <t>Viết mục báo cáo cho phần mình phụ trách (D, tích hợp, E1, B3)</t>
  </si>
  <si>
    <t>T40</t>
  </si>
  <si>
    <t>Viết mục báo cáo cho phần mình phụ trách (B, E2, E4)</t>
  </si>
  <si>
    <t>T41</t>
  </si>
  <si>
    <t>Viết mục báo cáo cho phần mình phụ trách (A, giao diện)</t>
  </si>
  <si>
    <t>T42</t>
  </si>
  <si>
    <t>Bàn giao</t>
  </si>
  <si>
    <t>Dọn mã nguồn, README hướng dẫn tái lập thí nghiệm</t>
  </si>
  <si>
    <t>Repo sạch + README</t>
  </si>
  <si>
    <t>T43</t>
  </si>
  <si>
    <t>Chuẩn bị demo trực tiếp và video demo dự phòng</t>
  </si>
  <si>
    <t>Video demo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</si>
  <si>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</si>
  <si>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</si>
  <si>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</si>
  <si>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</si>
  <si>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</si>
  <si>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</si>
  <si>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</si>
  <si>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</si>
  <si>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</si>
  <si>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Tuần bắt đầu (thứ Hai) →</t>
  </si>
  <si>
    <t>Chú thích màu (người phụ trách) · ■ = đang/sắp làm · ✓ = đã xong</t>
  </si>
  <si>
    <t>Nguyễn Gia Bảo</t>
  </si>
  <si>
    <t>Thái Văn Vũ</t>
  </si>
  <si>
    <t>Phạm Bá Bằng</t>
  </si>
  <si>
    <t>Nguyễn Lan Hương</t>
  </si>
  <si>
    <t>Đặng Thiên Ân</t>
  </si>
  <si>
    <t>Nguyễn Hữu Minh Khôi</t>
  </si>
  <si>
    <t>Thành viên</t>
  </si>
  <si>
    <t>Số việc</t>
  </si>
  <si>
    <t>Việc mức Cao</t>
  </si>
  <si>
    <t>Tổng giờ</t>
  </si>
  <si>
    <t>Giờ đã xong</t>
  </si>
  <si>
    <t>Giờ còn lại</t>
  </si>
  <si>
    <t>% hoàn thành</t>
  </si>
  <si>
    <t>% tổng khối lượng</t>
  </si>
  <si>
    <t>Vai trò chính</t>
  </si>
  <si>
    <t>Trưởng nhóm, điều phối; dữ liệu &amp; pipeline đánh giá; script chạy theo lô</t>
  </si>
  <si>
    <t>Baseline B0 và B2; few-shot (C); E3; dọn mã nguồn</t>
  </si>
  <si>
    <t>LÕI: tự sửa lỗi + sinh câu trả lời (D); tích hợp pipeline đề xuất; E1 so sánh chính + B3</t>
  </si>
  <si>
    <t>Câu hỏi tự nhiên &amp; kiểm tra chéo; chấm tay; gán nhãn lỗi; biên tập báo cáo, slide</t>
  </si>
  <si>
    <t>LÕI: liên kết thực thể (B); kiểm thử bộ chấm điểm; E2 ablation; phân tích nguyên nhân lỗi</t>
  </si>
  <si>
    <t>Neo4j server chung; schema chi tiết (A); giao diện Streamlit; demo</t>
  </si>
  <si>
    <t>Tổng</t>
  </si>
  <si>
    <t>Ghi chú: mọi số liệu tự tính từ sheet Phân công. Kiểm tra chéo câu hỏi theo vòng Bảo → Khôi → Ân → Bảo và Bằng ↔ Vũ. Giờ là ước tính để cân bằng khối lượng; Bảo có thêm ~18 giờ đã làm ở tuần 1–2.</t>
  </si>
  <si>
    <t>Tên gọi</t>
  </si>
  <si>
    <t>Họ tên</t>
  </si>
  <si>
    <t>MSSV</t>
  </si>
  <si>
    <t>Email</t>
  </si>
  <si>
    <t>23520121</t>
  </si>
  <si>
    <t>23520121@gm.uit.edu.vn</t>
  </si>
  <si>
    <t>23521816</t>
  </si>
  <si>
    <t>23521816@gm.uit.edu.vn</t>
  </si>
  <si>
    <t>23520090</t>
  </si>
  <si>
    <t>23520090@gm.uit.edu.vn</t>
  </si>
  <si>
    <t>23520588</t>
  </si>
  <si>
    <t>23520588@gm.uit.edu.vn</t>
  </si>
  <si>
    <t>23520003</t>
  </si>
  <si>
    <t>23520003@gm.uit.edu.vn</t>
  </si>
  <si>
    <t>23520775</t>
  </si>
  <si>
    <t>23520775@gm.uit.edu.vn</t>
  </si>
  <si>
    <t>Nguồn: danh sách thành viên trong proposal và DS_ThanhVien.md.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</si>
</sst>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dd/mm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9"/>
      <color rgb="FFFFFFFF"/>
      <name val="Arial"/>
    </font>
    <font>
      <i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55A99"/>
      </patternFill>
    </fill>
    <fill>
      <patternFill patternType="solid">
        <fgColor rgb="FFFFC000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166" fontId="4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4" fillId="6" borderId="0" xfId="0" applyFont="1" applyFill="1" applyAlignment="1">
      <alignment horizontal="center" vertical="top" wrapText="1"/>
    </xf>
    <xf numFmtId="0" fontId="4" fillId="7" borderId="0" xfId="0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4" fillId="9" borderId="0" xfId="0" applyFont="1" applyFill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vertical="top" wrapText="1"/>
    </xf>
    <xf numFmtId="167" fontId="2" fillId="0" borderId="1" xfId="0" applyNumberFormat="1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9" fontId="3" fillId="0" borderId="1" xfId="0" applyNumberFormat="1" applyFont="1" applyBorder="1" applyAlignment="1">
      <alignment horizontal="center" vertical="top" wrapText="1"/>
    </xf>
    <xf numFmtId="167" fontId="3" fillId="0" borderId="1" xfId="0" applyNumberFormat="1" applyFont="1" applyBorder="1" applyAlignment="1">
      <alignment horizontal="center" vertical="top" wrapText="1"/>
    </xf>
    <xf numFmtId="0" fontId="6" fillId="0" borderId="0" xfId="0" applyFont="1"/>
  </cellXfs>
  <cellStyles count="1">
    <cellStyle name="Normal" xfId="0" builtinId="0"/>
  </cellStyles>
  <dxfs count="9">
    <dxf>
      <fill>
        <patternFill patternType="solid">
          <fgColor rgb="FF4472C4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C55A99"/>
        </patternFill>
      </fill>
    </dxf>
    <dxf>
      <fill>
        <patternFill patternType="solid">
          <fgColor rgb="FFED7D31"/>
        </patternFill>
      </fill>
    </dxf>
    <dxf>
      <fill>
        <patternFill patternType="solid">
          <fgColor rgb="FF70AD47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/>
  </sheetViews>
  <sheetFormatPr defaultRowHeight="14.5" x14ac:dyDescent="0.35"/>
  <cols>
    <col min="1" max="1" width="110" customWidth="1"/>
  </cols>
  <sheetData>
    <row r="1" spans="1:1" ht="18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x14ac:dyDescent="0.35">
      <c r="A4" s="3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/>
    </row>
    <row r="10" spans="1:1" x14ac:dyDescent="0.35">
      <c r="A10" s="3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/>
    </row>
    <row r="16" spans="1:1" x14ac:dyDescent="0.35">
      <c r="A16" s="3" t="s">
        <v>12</v>
      </c>
    </row>
    <row r="17" spans="1:1" x14ac:dyDescent="0.35">
      <c r="A17" s="2" t="s">
        <v>13</v>
      </c>
    </row>
    <row r="18" spans="1:1" x14ac:dyDescent="0.35">
      <c r="A18" s="2" t="s">
        <v>14</v>
      </c>
    </row>
    <row r="19" spans="1:1" x14ac:dyDescent="0.35">
      <c r="A19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workbookViewId="0">
      <pane xSplit="6" ySplit="1" topLeftCell="G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2" width="7" customWidth="1"/>
    <col min="3" max="4" width="11" customWidth="1"/>
    <col min="5" max="5" width="14" customWidth="1"/>
    <col min="6" max="6" width="60" customWidth="1"/>
    <col min="7" max="7" width="10" customWidth="1"/>
    <col min="8" max="8" width="14" customWidth="1"/>
    <col min="9" max="9" width="12" customWidth="1"/>
    <col min="10" max="10" width="10" customWidth="1"/>
    <col min="11" max="11" width="30" customWidth="1"/>
    <col min="12" max="12" width="14" customWidth="1"/>
    <col min="13" max="13" width="25" customWidth="1"/>
  </cols>
  <sheetData>
    <row r="1" spans="1:13" ht="26" x14ac:dyDescent="0.3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</row>
    <row r="2" spans="1:13" ht="25" x14ac:dyDescent="0.35">
      <c r="A2" s="5" t="s">
        <v>29</v>
      </c>
      <c r="B2" s="5" t="s">
        <v>30</v>
      </c>
      <c r="C2" s="6">
        <v>46286</v>
      </c>
      <c r="D2" s="6">
        <v>46292</v>
      </c>
      <c r="E2" s="7" t="s">
        <v>31</v>
      </c>
      <c r="F2" s="7" t="s">
        <v>32</v>
      </c>
      <c r="G2" s="5" t="s">
        <v>33</v>
      </c>
      <c r="H2" s="7"/>
      <c r="I2" s="5" t="s">
        <v>34</v>
      </c>
      <c r="J2" s="8">
        <v>10</v>
      </c>
      <c r="K2" s="7" t="s">
        <v>35</v>
      </c>
      <c r="L2" s="8" t="s">
        <v>36</v>
      </c>
      <c r="M2" s="9"/>
    </row>
    <row r="3" spans="1:13" x14ac:dyDescent="0.35">
      <c r="A3" s="5" t="s">
        <v>37</v>
      </c>
      <c r="B3" s="5" t="s">
        <v>38</v>
      </c>
      <c r="C3" s="6">
        <v>46293</v>
      </c>
      <c r="D3" s="6">
        <v>46299</v>
      </c>
      <c r="E3" s="7" t="s">
        <v>39</v>
      </c>
      <c r="F3" s="7" t="s">
        <v>40</v>
      </c>
      <c r="G3" s="5" t="s">
        <v>33</v>
      </c>
      <c r="H3" s="7" t="s">
        <v>41</v>
      </c>
      <c r="I3" s="5" t="s">
        <v>42</v>
      </c>
      <c r="J3" s="8">
        <v>8</v>
      </c>
      <c r="K3" s="7" t="s">
        <v>43</v>
      </c>
      <c r="L3" s="8" t="s">
        <v>36</v>
      </c>
      <c r="M3" s="9"/>
    </row>
    <row r="4" spans="1:13" x14ac:dyDescent="0.35">
      <c r="A4" s="5" t="s">
        <v>44</v>
      </c>
      <c r="B4" s="5" t="s">
        <v>38</v>
      </c>
      <c r="C4" s="6">
        <v>46293</v>
      </c>
      <c r="D4" s="6">
        <v>46299</v>
      </c>
      <c r="E4" s="7" t="s">
        <v>39</v>
      </c>
      <c r="F4" s="7" t="s">
        <v>45</v>
      </c>
      <c r="G4" s="5" t="s">
        <v>46</v>
      </c>
      <c r="H4" s="7" t="s">
        <v>33</v>
      </c>
      <c r="I4" s="5" t="s">
        <v>42</v>
      </c>
      <c r="J4" s="8">
        <v>3</v>
      </c>
      <c r="K4" s="7" t="s">
        <v>47</v>
      </c>
      <c r="L4" s="8" t="s">
        <v>36</v>
      </c>
      <c r="M4" s="9"/>
    </row>
    <row r="5" spans="1:13" ht="25" x14ac:dyDescent="0.35">
      <c r="A5" s="5" t="s">
        <v>48</v>
      </c>
      <c r="B5" s="5" t="s">
        <v>49</v>
      </c>
      <c r="C5" s="6">
        <v>46300</v>
      </c>
      <c r="D5" s="6">
        <v>46306</v>
      </c>
      <c r="E5" s="7" t="s">
        <v>39</v>
      </c>
      <c r="F5" s="7" t="s">
        <v>50</v>
      </c>
      <c r="G5" s="5" t="s">
        <v>33</v>
      </c>
      <c r="H5" s="7" t="s">
        <v>46</v>
      </c>
      <c r="I5" s="5" t="s">
        <v>42</v>
      </c>
      <c r="J5" s="8">
        <v>4</v>
      </c>
      <c r="K5" s="7" t="s">
        <v>51</v>
      </c>
      <c r="L5" s="8" t="s">
        <v>52</v>
      </c>
      <c r="M5" s="9"/>
    </row>
    <row r="6" spans="1:13" ht="25" x14ac:dyDescent="0.35">
      <c r="A6" s="5" t="s">
        <v>53</v>
      </c>
      <c r="B6" s="5" t="s">
        <v>49</v>
      </c>
      <c r="C6" s="6">
        <v>46300</v>
      </c>
      <c r="D6" s="6">
        <v>46306</v>
      </c>
      <c r="E6" s="7" t="s">
        <v>54</v>
      </c>
      <c r="F6" s="7" t="s">
        <v>55</v>
      </c>
      <c r="G6" s="5" t="s">
        <v>56</v>
      </c>
      <c r="H6" s="7" t="s">
        <v>33</v>
      </c>
      <c r="I6" s="5" t="s">
        <v>34</v>
      </c>
      <c r="J6" s="8">
        <v>6</v>
      </c>
      <c r="K6" s="7" t="s">
        <v>57</v>
      </c>
      <c r="L6" s="8" t="s">
        <v>58</v>
      </c>
      <c r="M6" s="9"/>
    </row>
    <row r="7" spans="1:13" ht="25" x14ac:dyDescent="0.35">
      <c r="A7" s="5" t="s">
        <v>59</v>
      </c>
      <c r="B7" s="5" t="s">
        <v>49</v>
      </c>
      <c r="C7" s="6">
        <v>46300</v>
      </c>
      <c r="D7" s="6">
        <v>46306</v>
      </c>
      <c r="E7" s="7" t="s">
        <v>60</v>
      </c>
      <c r="F7" s="7" t="s">
        <v>61</v>
      </c>
      <c r="G7" s="5" t="s">
        <v>46</v>
      </c>
      <c r="H7" s="7" t="s">
        <v>33</v>
      </c>
      <c r="I7" s="5" t="s">
        <v>42</v>
      </c>
      <c r="J7" s="8">
        <v>2</v>
      </c>
      <c r="K7" s="7" t="s">
        <v>62</v>
      </c>
      <c r="L7" s="8" t="s">
        <v>58</v>
      </c>
      <c r="M7" s="9"/>
    </row>
    <row r="8" spans="1:13" x14ac:dyDescent="0.35">
      <c r="A8" s="5" t="s">
        <v>63</v>
      </c>
      <c r="B8" s="5" t="s">
        <v>64</v>
      </c>
      <c r="C8" s="6">
        <v>46300</v>
      </c>
      <c r="D8" s="6">
        <v>46313</v>
      </c>
      <c r="E8" s="7" t="s">
        <v>60</v>
      </c>
      <c r="F8" s="7" t="s">
        <v>65</v>
      </c>
      <c r="G8" s="5" t="s">
        <v>33</v>
      </c>
      <c r="H8" s="7" t="s">
        <v>66</v>
      </c>
      <c r="I8" s="5" t="s">
        <v>67</v>
      </c>
      <c r="J8" s="8">
        <v>6</v>
      </c>
      <c r="K8" s="7" t="s">
        <v>68</v>
      </c>
      <c r="L8" s="8" t="s">
        <v>58</v>
      </c>
      <c r="M8" s="9"/>
    </row>
    <row r="9" spans="1:13" x14ac:dyDescent="0.35">
      <c r="A9" s="5" t="s">
        <v>69</v>
      </c>
      <c r="B9" s="5" t="s">
        <v>64</v>
      </c>
      <c r="C9" s="6">
        <v>46300</v>
      </c>
      <c r="D9" s="6">
        <v>46313</v>
      </c>
      <c r="E9" s="7" t="s">
        <v>60</v>
      </c>
      <c r="F9" s="7" t="s">
        <v>70</v>
      </c>
      <c r="G9" s="5" t="s">
        <v>71</v>
      </c>
      <c r="H9" s="7" t="s">
        <v>72</v>
      </c>
      <c r="I9" s="5" t="s">
        <v>34</v>
      </c>
      <c r="J9" s="8">
        <v>8</v>
      </c>
      <c r="K9" s="7" t="s">
        <v>73</v>
      </c>
      <c r="L9" s="8" t="s">
        <v>58</v>
      </c>
      <c r="M9" s="9"/>
    </row>
    <row r="10" spans="1:13" x14ac:dyDescent="0.35">
      <c r="A10" s="5" t="s">
        <v>74</v>
      </c>
      <c r="B10" s="5" t="s">
        <v>64</v>
      </c>
      <c r="C10" s="6">
        <v>46300</v>
      </c>
      <c r="D10" s="6">
        <v>46313</v>
      </c>
      <c r="E10" s="7" t="s">
        <v>60</v>
      </c>
      <c r="F10" s="7" t="s">
        <v>75</v>
      </c>
      <c r="G10" s="5" t="s">
        <v>72</v>
      </c>
      <c r="H10" s="7" t="s">
        <v>71</v>
      </c>
      <c r="I10" s="5" t="s">
        <v>34</v>
      </c>
      <c r="J10" s="8">
        <v>8</v>
      </c>
      <c r="K10" s="7" t="s">
        <v>76</v>
      </c>
      <c r="L10" s="8" t="s">
        <v>58</v>
      </c>
      <c r="M10" s="9"/>
    </row>
    <row r="11" spans="1:13" x14ac:dyDescent="0.35">
      <c r="A11" s="5" t="s">
        <v>77</v>
      </c>
      <c r="B11" s="5" t="s">
        <v>64</v>
      </c>
      <c r="C11" s="6">
        <v>46300</v>
      </c>
      <c r="D11" s="6">
        <v>46313</v>
      </c>
      <c r="E11" s="7" t="s">
        <v>60</v>
      </c>
      <c r="F11" s="7" t="s">
        <v>78</v>
      </c>
      <c r="G11" s="5" t="s">
        <v>66</v>
      </c>
      <c r="H11" s="7" t="s">
        <v>56</v>
      </c>
      <c r="I11" s="5" t="s">
        <v>34</v>
      </c>
      <c r="J11" s="8">
        <v>8</v>
      </c>
      <c r="K11" s="7" t="s">
        <v>79</v>
      </c>
      <c r="L11" s="8" t="s">
        <v>58</v>
      </c>
      <c r="M11" s="9"/>
    </row>
    <row r="12" spans="1:13" x14ac:dyDescent="0.35">
      <c r="A12" s="5" t="s">
        <v>80</v>
      </c>
      <c r="B12" s="5" t="s">
        <v>64</v>
      </c>
      <c r="C12" s="6">
        <v>46300</v>
      </c>
      <c r="D12" s="6">
        <v>46313</v>
      </c>
      <c r="E12" s="7" t="s">
        <v>60</v>
      </c>
      <c r="F12" s="7" t="s">
        <v>81</v>
      </c>
      <c r="G12" s="5" t="s">
        <v>56</v>
      </c>
      <c r="H12" s="7" t="s">
        <v>33</v>
      </c>
      <c r="I12" s="5" t="s">
        <v>34</v>
      </c>
      <c r="J12" s="8">
        <v>8</v>
      </c>
      <c r="K12" s="7" t="s">
        <v>82</v>
      </c>
      <c r="L12" s="8" t="s">
        <v>58</v>
      </c>
      <c r="M12" s="9"/>
    </row>
    <row r="13" spans="1:13" ht="25" x14ac:dyDescent="0.35">
      <c r="A13" s="5" t="s">
        <v>83</v>
      </c>
      <c r="B13" s="5" t="s">
        <v>64</v>
      </c>
      <c r="C13" s="6">
        <v>46300</v>
      </c>
      <c r="D13" s="6">
        <v>46313</v>
      </c>
      <c r="E13" s="7" t="s">
        <v>60</v>
      </c>
      <c r="F13" s="7" t="s">
        <v>84</v>
      </c>
      <c r="G13" s="5" t="s">
        <v>46</v>
      </c>
      <c r="H13" s="7" t="s">
        <v>41</v>
      </c>
      <c r="I13" s="5" t="s">
        <v>42</v>
      </c>
      <c r="J13" s="8">
        <v>8</v>
      </c>
      <c r="K13" s="7" t="s">
        <v>85</v>
      </c>
      <c r="L13" s="8" t="s">
        <v>58</v>
      </c>
      <c r="M13" s="9"/>
    </row>
    <row r="14" spans="1:13" ht="25" x14ac:dyDescent="0.35">
      <c r="A14" s="5" t="s">
        <v>86</v>
      </c>
      <c r="B14" s="5" t="s">
        <v>87</v>
      </c>
      <c r="C14" s="6">
        <v>46307</v>
      </c>
      <c r="D14" s="6">
        <v>46313</v>
      </c>
      <c r="E14" s="7" t="s">
        <v>60</v>
      </c>
      <c r="F14" s="7" t="s">
        <v>88</v>
      </c>
      <c r="G14" s="5" t="s">
        <v>33</v>
      </c>
      <c r="H14" s="7" t="s">
        <v>72</v>
      </c>
      <c r="I14" s="5" t="s">
        <v>67</v>
      </c>
      <c r="J14" s="8">
        <v>6</v>
      </c>
      <c r="K14" s="7" t="s">
        <v>89</v>
      </c>
      <c r="L14" s="8" t="s">
        <v>58</v>
      </c>
      <c r="M14" s="9"/>
    </row>
    <row r="15" spans="1:13" ht="25" x14ac:dyDescent="0.35">
      <c r="A15" s="5" t="s">
        <v>90</v>
      </c>
      <c r="B15" s="5" t="s">
        <v>87</v>
      </c>
      <c r="C15" s="6">
        <v>46307</v>
      </c>
      <c r="D15" s="6">
        <v>46313</v>
      </c>
      <c r="E15" s="7" t="s">
        <v>60</v>
      </c>
      <c r="F15" s="7" t="s">
        <v>91</v>
      </c>
      <c r="G15" s="5" t="s">
        <v>46</v>
      </c>
      <c r="H15" s="7" t="s">
        <v>33</v>
      </c>
      <c r="I15" s="5" t="s">
        <v>42</v>
      </c>
      <c r="J15" s="8">
        <v>3</v>
      </c>
      <c r="K15" s="7" t="s">
        <v>92</v>
      </c>
      <c r="L15" s="8" t="s">
        <v>58</v>
      </c>
      <c r="M15" s="9"/>
    </row>
    <row r="16" spans="1:13" ht="25" x14ac:dyDescent="0.35">
      <c r="A16" s="5" t="s">
        <v>93</v>
      </c>
      <c r="B16" s="5" t="s">
        <v>94</v>
      </c>
      <c r="C16" s="6">
        <v>46314</v>
      </c>
      <c r="D16" s="6">
        <v>46320</v>
      </c>
      <c r="E16" s="7" t="s">
        <v>95</v>
      </c>
      <c r="F16" s="7" t="s">
        <v>96</v>
      </c>
      <c r="G16" s="5" t="s">
        <v>33</v>
      </c>
      <c r="H16" s="7" t="s">
        <v>71</v>
      </c>
      <c r="I16" s="5" t="s">
        <v>67</v>
      </c>
      <c r="J16" s="8">
        <v>6</v>
      </c>
      <c r="K16" s="7" t="s">
        <v>97</v>
      </c>
      <c r="L16" s="8" t="s">
        <v>58</v>
      </c>
      <c r="M16" s="9"/>
    </row>
    <row r="17" spans="1:13" x14ac:dyDescent="0.35">
      <c r="A17" s="5" t="s">
        <v>98</v>
      </c>
      <c r="B17" s="5" t="s">
        <v>94</v>
      </c>
      <c r="C17" s="6">
        <v>46314</v>
      </c>
      <c r="D17" s="6">
        <v>46320</v>
      </c>
      <c r="E17" s="7" t="s">
        <v>95</v>
      </c>
      <c r="F17" s="7" t="s">
        <v>99</v>
      </c>
      <c r="G17" s="5" t="s">
        <v>72</v>
      </c>
      <c r="H17" s="7" t="s">
        <v>33</v>
      </c>
      <c r="I17" s="5" t="s">
        <v>34</v>
      </c>
      <c r="J17" s="8">
        <v>10</v>
      </c>
      <c r="K17" s="7" t="s">
        <v>100</v>
      </c>
      <c r="L17" s="8" t="s">
        <v>58</v>
      </c>
      <c r="M17" s="9"/>
    </row>
    <row r="18" spans="1:13" x14ac:dyDescent="0.35">
      <c r="A18" s="5" t="s">
        <v>101</v>
      </c>
      <c r="B18" s="5" t="s">
        <v>94</v>
      </c>
      <c r="C18" s="6">
        <v>46314</v>
      </c>
      <c r="D18" s="6">
        <v>46320</v>
      </c>
      <c r="E18" s="7" t="s">
        <v>95</v>
      </c>
      <c r="F18" s="7" t="s">
        <v>102</v>
      </c>
      <c r="G18" s="5" t="s">
        <v>72</v>
      </c>
      <c r="H18" s="7" t="s">
        <v>33</v>
      </c>
      <c r="I18" s="5" t="s">
        <v>34</v>
      </c>
      <c r="J18" s="8">
        <v>6</v>
      </c>
      <c r="K18" s="7" t="s">
        <v>103</v>
      </c>
      <c r="L18" s="8" t="s">
        <v>58</v>
      </c>
      <c r="M18" s="9"/>
    </row>
    <row r="19" spans="1:13" ht="25" x14ac:dyDescent="0.35">
      <c r="A19" s="5" t="s">
        <v>104</v>
      </c>
      <c r="B19" s="5" t="s">
        <v>94</v>
      </c>
      <c r="C19" s="6">
        <v>46314</v>
      </c>
      <c r="D19" s="6">
        <v>46320</v>
      </c>
      <c r="E19" s="7" t="s">
        <v>95</v>
      </c>
      <c r="F19" s="7" t="s">
        <v>105</v>
      </c>
      <c r="G19" s="5" t="s">
        <v>66</v>
      </c>
      <c r="H19" s="7" t="s">
        <v>33</v>
      </c>
      <c r="I19" s="5" t="s">
        <v>34</v>
      </c>
      <c r="J19" s="8">
        <v>5</v>
      </c>
      <c r="K19" s="7" t="s">
        <v>106</v>
      </c>
      <c r="L19" s="8" t="s">
        <v>58</v>
      </c>
      <c r="M19" s="9"/>
    </row>
    <row r="20" spans="1:13" x14ac:dyDescent="0.35">
      <c r="A20" s="5" t="s">
        <v>107</v>
      </c>
      <c r="B20" s="5" t="s">
        <v>94</v>
      </c>
      <c r="C20" s="6">
        <v>46314</v>
      </c>
      <c r="D20" s="6">
        <v>46320</v>
      </c>
      <c r="E20" s="7" t="s">
        <v>39</v>
      </c>
      <c r="F20" s="7" t="s">
        <v>108</v>
      </c>
      <c r="G20" s="5" t="s">
        <v>46</v>
      </c>
      <c r="H20" s="7" t="s">
        <v>33</v>
      </c>
      <c r="I20" s="5" t="s">
        <v>42</v>
      </c>
      <c r="J20" s="8">
        <v>1</v>
      </c>
      <c r="K20" s="7" t="s">
        <v>109</v>
      </c>
      <c r="L20" s="8" t="s">
        <v>58</v>
      </c>
      <c r="M20" s="9"/>
    </row>
    <row r="21" spans="1:13" ht="25" x14ac:dyDescent="0.35">
      <c r="A21" s="5" t="s">
        <v>110</v>
      </c>
      <c r="B21" s="5" t="s">
        <v>111</v>
      </c>
      <c r="C21" s="6">
        <v>46321</v>
      </c>
      <c r="D21" s="6">
        <v>46341</v>
      </c>
      <c r="E21" s="7" t="s">
        <v>112</v>
      </c>
      <c r="F21" s="7" t="s">
        <v>113</v>
      </c>
      <c r="G21" s="5" t="s">
        <v>56</v>
      </c>
      <c r="H21" s="7" t="s">
        <v>71</v>
      </c>
      <c r="I21" s="5" t="s">
        <v>34</v>
      </c>
      <c r="J21" s="8">
        <v>8</v>
      </c>
      <c r="K21" s="7" t="s">
        <v>114</v>
      </c>
      <c r="L21" s="8" t="s">
        <v>58</v>
      </c>
      <c r="M21" s="9"/>
    </row>
    <row r="22" spans="1:13" x14ac:dyDescent="0.35">
      <c r="A22" s="5" t="s">
        <v>115</v>
      </c>
      <c r="B22" s="5" t="s">
        <v>111</v>
      </c>
      <c r="C22" s="6">
        <v>46321</v>
      </c>
      <c r="D22" s="6">
        <v>46341</v>
      </c>
      <c r="E22" s="7" t="s">
        <v>112</v>
      </c>
      <c r="F22" s="7" t="s">
        <v>116</v>
      </c>
      <c r="G22" s="5" t="s">
        <v>66</v>
      </c>
      <c r="H22" s="7" t="s">
        <v>71</v>
      </c>
      <c r="I22" s="5" t="s">
        <v>34</v>
      </c>
      <c r="J22" s="8">
        <v>14</v>
      </c>
      <c r="K22" s="7" t="s">
        <v>117</v>
      </c>
      <c r="L22" s="8" t="s">
        <v>58</v>
      </c>
      <c r="M22" s="9"/>
    </row>
    <row r="23" spans="1:13" x14ac:dyDescent="0.35">
      <c r="A23" s="5" t="s">
        <v>118</v>
      </c>
      <c r="B23" s="5" t="s">
        <v>111</v>
      </c>
      <c r="C23" s="6">
        <v>46321</v>
      </c>
      <c r="D23" s="6">
        <v>46341</v>
      </c>
      <c r="E23" s="7" t="s">
        <v>112</v>
      </c>
      <c r="F23" s="7" t="s">
        <v>119</v>
      </c>
      <c r="G23" s="5" t="s">
        <v>72</v>
      </c>
      <c r="H23" s="7" t="s">
        <v>71</v>
      </c>
      <c r="I23" s="5" t="s">
        <v>34</v>
      </c>
      <c r="J23" s="8">
        <v>10</v>
      </c>
      <c r="K23" s="7" t="s">
        <v>120</v>
      </c>
      <c r="L23" s="8" t="s">
        <v>58</v>
      </c>
      <c r="M23" s="9"/>
    </row>
    <row r="24" spans="1:13" x14ac:dyDescent="0.35">
      <c r="A24" s="5" t="s">
        <v>121</v>
      </c>
      <c r="B24" s="5" t="s">
        <v>111</v>
      </c>
      <c r="C24" s="6">
        <v>46321</v>
      </c>
      <c r="D24" s="6">
        <v>46341</v>
      </c>
      <c r="E24" s="7" t="s">
        <v>112</v>
      </c>
      <c r="F24" s="7" t="s">
        <v>122</v>
      </c>
      <c r="G24" s="5" t="s">
        <v>71</v>
      </c>
      <c r="H24" s="7" t="s">
        <v>66</v>
      </c>
      <c r="I24" s="5" t="s">
        <v>34</v>
      </c>
      <c r="J24" s="8">
        <v>12</v>
      </c>
      <c r="K24" s="7" t="s">
        <v>123</v>
      </c>
      <c r="L24" s="8" t="s">
        <v>58</v>
      </c>
      <c r="M24" s="9"/>
    </row>
    <row r="25" spans="1:13" x14ac:dyDescent="0.35">
      <c r="A25" s="5" t="s">
        <v>124</v>
      </c>
      <c r="B25" s="5" t="s">
        <v>111</v>
      </c>
      <c r="C25" s="6">
        <v>46321</v>
      </c>
      <c r="D25" s="6">
        <v>46341</v>
      </c>
      <c r="E25" s="7" t="s">
        <v>112</v>
      </c>
      <c r="F25" s="7" t="s">
        <v>125</v>
      </c>
      <c r="G25" s="5" t="s">
        <v>71</v>
      </c>
      <c r="H25" s="7" t="s">
        <v>66</v>
      </c>
      <c r="I25" s="5" t="s">
        <v>34</v>
      </c>
      <c r="J25" s="8">
        <v>8</v>
      </c>
      <c r="K25" s="7" t="s">
        <v>126</v>
      </c>
      <c r="L25" s="8" t="s">
        <v>58</v>
      </c>
      <c r="M25" s="9"/>
    </row>
    <row r="26" spans="1:13" ht="25" x14ac:dyDescent="0.35">
      <c r="A26" s="5" t="s">
        <v>127</v>
      </c>
      <c r="B26" s="5" t="s">
        <v>111</v>
      </c>
      <c r="C26" s="6">
        <v>46321</v>
      </c>
      <c r="D26" s="6">
        <v>46341</v>
      </c>
      <c r="E26" s="7" t="s">
        <v>128</v>
      </c>
      <c r="F26" s="7" t="s">
        <v>129</v>
      </c>
      <c r="G26" s="5" t="s">
        <v>46</v>
      </c>
      <c r="H26" s="7" t="s">
        <v>33</v>
      </c>
      <c r="I26" s="5" t="s">
        <v>42</v>
      </c>
      <c r="J26" s="8">
        <v>5</v>
      </c>
      <c r="K26" s="7" t="s">
        <v>130</v>
      </c>
      <c r="L26" s="8" t="s">
        <v>58</v>
      </c>
      <c r="M26" s="9"/>
    </row>
    <row r="27" spans="1:13" ht="25" x14ac:dyDescent="0.35">
      <c r="A27" s="5" t="s">
        <v>131</v>
      </c>
      <c r="B27" s="5" t="s">
        <v>132</v>
      </c>
      <c r="C27" s="6">
        <v>46342</v>
      </c>
      <c r="D27" s="6">
        <v>46348</v>
      </c>
      <c r="E27" s="7" t="s">
        <v>133</v>
      </c>
      <c r="F27" s="7" t="s">
        <v>134</v>
      </c>
      <c r="G27" s="5" t="s">
        <v>33</v>
      </c>
      <c r="H27" s="7" t="s">
        <v>71</v>
      </c>
      <c r="I27" s="5" t="s">
        <v>34</v>
      </c>
      <c r="J27" s="8">
        <v>4</v>
      </c>
      <c r="K27" s="7" t="s">
        <v>135</v>
      </c>
      <c r="L27" s="8" t="s">
        <v>58</v>
      </c>
      <c r="M27" s="9"/>
    </row>
    <row r="28" spans="1:13" ht="25" x14ac:dyDescent="0.35">
      <c r="A28" s="5" t="s">
        <v>136</v>
      </c>
      <c r="B28" s="5" t="s">
        <v>137</v>
      </c>
      <c r="C28" s="6">
        <v>46342</v>
      </c>
      <c r="D28" s="6">
        <v>46355</v>
      </c>
      <c r="E28" s="7" t="s">
        <v>133</v>
      </c>
      <c r="F28" s="7" t="s">
        <v>138</v>
      </c>
      <c r="G28" s="5" t="s">
        <v>71</v>
      </c>
      <c r="H28" s="7" t="s">
        <v>66</v>
      </c>
      <c r="I28" s="5" t="s">
        <v>34</v>
      </c>
      <c r="J28" s="8">
        <v>10</v>
      </c>
      <c r="K28" s="7" t="s">
        <v>139</v>
      </c>
      <c r="L28" s="8" t="s">
        <v>58</v>
      </c>
      <c r="M28" s="9"/>
    </row>
    <row r="29" spans="1:13" x14ac:dyDescent="0.35">
      <c r="A29" s="5" t="s">
        <v>140</v>
      </c>
      <c r="B29" s="5" t="s">
        <v>137</v>
      </c>
      <c r="C29" s="6">
        <v>46342</v>
      </c>
      <c r="D29" s="6">
        <v>46355</v>
      </c>
      <c r="E29" s="7" t="s">
        <v>133</v>
      </c>
      <c r="F29" s="7" t="s">
        <v>141</v>
      </c>
      <c r="G29" s="5" t="s">
        <v>66</v>
      </c>
      <c r="H29" s="7" t="s">
        <v>71</v>
      </c>
      <c r="I29" s="5" t="s">
        <v>34</v>
      </c>
      <c r="J29" s="8">
        <v>8</v>
      </c>
      <c r="K29" s="7" t="s">
        <v>142</v>
      </c>
      <c r="L29" s="8" t="s">
        <v>58</v>
      </c>
      <c r="M29" s="9"/>
    </row>
    <row r="30" spans="1:13" x14ac:dyDescent="0.35">
      <c r="A30" s="5" t="s">
        <v>143</v>
      </c>
      <c r="B30" s="5" t="s">
        <v>137</v>
      </c>
      <c r="C30" s="6">
        <v>46342</v>
      </c>
      <c r="D30" s="6">
        <v>46355</v>
      </c>
      <c r="E30" s="7" t="s">
        <v>133</v>
      </c>
      <c r="F30" s="7" t="s">
        <v>144</v>
      </c>
      <c r="G30" s="5" t="s">
        <v>72</v>
      </c>
      <c r="H30" s="7" t="s">
        <v>71</v>
      </c>
      <c r="I30" s="5" t="s">
        <v>34</v>
      </c>
      <c r="J30" s="8">
        <v>5</v>
      </c>
      <c r="K30" s="7" t="s">
        <v>145</v>
      </c>
      <c r="L30" s="8" t="s">
        <v>58</v>
      </c>
      <c r="M30" s="9"/>
    </row>
    <row r="31" spans="1:13" x14ac:dyDescent="0.35">
      <c r="A31" s="5" t="s">
        <v>146</v>
      </c>
      <c r="B31" s="5" t="s">
        <v>137</v>
      </c>
      <c r="C31" s="6">
        <v>46342</v>
      </c>
      <c r="D31" s="6">
        <v>46355</v>
      </c>
      <c r="E31" s="7" t="s">
        <v>147</v>
      </c>
      <c r="F31" s="7" t="s">
        <v>148</v>
      </c>
      <c r="G31" s="5" t="s">
        <v>46</v>
      </c>
      <c r="H31" s="7" t="s">
        <v>66</v>
      </c>
      <c r="I31" s="5" t="s">
        <v>42</v>
      </c>
      <c r="J31" s="8">
        <v>5</v>
      </c>
      <c r="K31" s="7" t="s">
        <v>149</v>
      </c>
      <c r="L31" s="8" t="s">
        <v>58</v>
      </c>
      <c r="M31" s="9"/>
    </row>
    <row r="32" spans="1:13" x14ac:dyDescent="0.35">
      <c r="A32" s="5" t="s">
        <v>150</v>
      </c>
      <c r="B32" s="5" t="s">
        <v>137</v>
      </c>
      <c r="C32" s="6">
        <v>46342</v>
      </c>
      <c r="D32" s="6">
        <v>46355</v>
      </c>
      <c r="E32" s="7" t="s">
        <v>147</v>
      </c>
      <c r="F32" s="7" t="s">
        <v>151</v>
      </c>
      <c r="G32" s="5" t="s">
        <v>46</v>
      </c>
      <c r="H32" s="7" t="s">
        <v>33</v>
      </c>
      <c r="I32" s="5" t="s">
        <v>42</v>
      </c>
      <c r="J32" s="8">
        <v>5</v>
      </c>
      <c r="K32" s="7" t="s">
        <v>152</v>
      </c>
      <c r="L32" s="8" t="s">
        <v>58</v>
      </c>
      <c r="M32" s="9"/>
    </row>
    <row r="33" spans="1:13" x14ac:dyDescent="0.35">
      <c r="A33" s="5" t="s">
        <v>153</v>
      </c>
      <c r="B33" s="5" t="s">
        <v>154</v>
      </c>
      <c r="C33" s="6">
        <v>46356</v>
      </c>
      <c r="D33" s="6">
        <v>46362</v>
      </c>
      <c r="E33" s="7" t="s">
        <v>155</v>
      </c>
      <c r="F33" s="7" t="s">
        <v>156</v>
      </c>
      <c r="G33" s="5" t="s">
        <v>56</v>
      </c>
      <c r="H33" s="7" t="s">
        <v>33</v>
      </c>
      <c r="I33" s="5" t="s">
        <v>34</v>
      </c>
      <c r="J33" s="8">
        <v>12</v>
      </c>
      <c r="K33" s="7" t="s">
        <v>157</v>
      </c>
      <c r="L33" s="8" t="s">
        <v>58</v>
      </c>
      <c r="M33" s="9"/>
    </row>
    <row r="34" spans="1:13" ht="25" x14ac:dyDescent="0.35">
      <c r="A34" s="5" t="s">
        <v>158</v>
      </c>
      <c r="B34" s="5" t="s">
        <v>154</v>
      </c>
      <c r="C34" s="6">
        <v>46356</v>
      </c>
      <c r="D34" s="6">
        <v>46362</v>
      </c>
      <c r="E34" s="7" t="s">
        <v>159</v>
      </c>
      <c r="F34" s="7" t="s">
        <v>160</v>
      </c>
      <c r="G34" s="5" t="s">
        <v>46</v>
      </c>
      <c r="H34" s="7" t="s">
        <v>66</v>
      </c>
      <c r="I34" s="5" t="s">
        <v>42</v>
      </c>
      <c r="J34" s="8">
        <v>5</v>
      </c>
      <c r="K34" s="7" t="s">
        <v>161</v>
      </c>
      <c r="L34" s="8" t="s">
        <v>58</v>
      </c>
      <c r="M34" s="9"/>
    </row>
    <row r="35" spans="1:13" x14ac:dyDescent="0.35">
      <c r="A35" s="5" t="s">
        <v>162</v>
      </c>
      <c r="B35" s="5" t="s">
        <v>154</v>
      </c>
      <c r="C35" s="6">
        <v>46356</v>
      </c>
      <c r="D35" s="6">
        <v>46362</v>
      </c>
      <c r="E35" s="7" t="s">
        <v>159</v>
      </c>
      <c r="F35" s="7" t="s">
        <v>163</v>
      </c>
      <c r="G35" s="5" t="s">
        <v>66</v>
      </c>
      <c r="H35" s="7" t="s">
        <v>33</v>
      </c>
      <c r="I35" s="5" t="s">
        <v>34</v>
      </c>
      <c r="J35" s="8">
        <v>5</v>
      </c>
      <c r="K35" s="7" t="s">
        <v>164</v>
      </c>
      <c r="L35" s="8" t="s">
        <v>58</v>
      </c>
      <c r="M35" s="9"/>
    </row>
    <row r="36" spans="1:13" x14ac:dyDescent="0.35">
      <c r="A36" s="5" t="s">
        <v>165</v>
      </c>
      <c r="B36" s="5" t="s">
        <v>166</v>
      </c>
      <c r="C36" s="6">
        <v>46363</v>
      </c>
      <c r="D36" s="6">
        <v>46369</v>
      </c>
      <c r="E36" s="7" t="s">
        <v>167</v>
      </c>
      <c r="F36" s="7" t="s">
        <v>168</v>
      </c>
      <c r="G36" s="5" t="s">
        <v>33</v>
      </c>
      <c r="H36" s="7" t="s">
        <v>41</v>
      </c>
      <c r="I36" s="5" t="s">
        <v>67</v>
      </c>
      <c r="J36" s="8">
        <v>3</v>
      </c>
      <c r="K36" s="7" t="s">
        <v>169</v>
      </c>
      <c r="L36" s="8" t="s">
        <v>58</v>
      </c>
      <c r="M36" s="9"/>
    </row>
    <row r="37" spans="1:13" x14ac:dyDescent="0.35">
      <c r="A37" s="5" t="s">
        <v>170</v>
      </c>
      <c r="B37" s="5" t="s">
        <v>171</v>
      </c>
      <c r="C37" s="6">
        <v>46370</v>
      </c>
      <c r="D37" s="6">
        <v>46383</v>
      </c>
      <c r="E37" s="7" t="s">
        <v>128</v>
      </c>
      <c r="F37" s="7" t="s">
        <v>172</v>
      </c>
      <c r="G37" s="5" t="s">
        <v>46</v>
      </c>
      <c r="H37" s="7" t="s">
        <v>33</v>
      </c>
      <c r="I37" s="5" t="s">
        <v>42</v>
      </c>
      <c r="J37" s="8">
        <v>8</v>
      </c>
      <c r="K37" s="7" t="s">
        <v>173</v>
      </c>
      <c r="L37" s="8" t="s">
        <v>58</v>
      </c>
      <c r="M37" s="9"/>
    </row>
    <row r="38" spans="1:13" x14ac:dyDescent="0.35">
      <c r="A38" s="5" t="s">
        <v>174</v>
      </c>
      <c r="B38" s="5" t="s">
        <v>171</v>
      </c>
      <c r="C38" s="6">
        <v>46370</v>
      </c>
      <c r="D38" s="6">
        <v>46383</v>
      </c>
      <c r="E38" s="7" t="s">
        <v>128</v>
      </c>
      <c r="F38" s="7" t="s">
        <v>175</v>
      </c>
      <c r="G38" s="5" t="s">
        <v>33</v>
      </c>
      <c r="H38" s="7" t="s">
        <v>46</v>
      </c>
      <c r="I38" s="5" t="s">
        <v>42</v>
      </c>
      <c r="J38" s="8">
        <v>4</v>
      </c>
      <c r="K38" s="7" t="s">
        <v>176</v>
      </c>
      <c r="L38" s="8" t="s">
        <v>58</v>
      </c>
      <c r="M38" s="9"/>
    </row>
    <row r="39" spans="1:13" x14ac:dyDescent="0.35">
      <c r="A39" s="5" t="s">
        <v>177</v>
      </c>
      <c r="B39" s="5" t="s">
        <v>171</v>
      </c>
      <c r="C39" s="6">
        <v>46370</v>
      </c>
      <c r="D39" s="6">
        <v>46383</v>
      </c>
      <c r="E39" s="7" t="s">
        <v>128</v>
      </c>
      <c r="F39" s="7" t="s">
        <v>178</v>
      </c>
      <c r="G39" s="5" t="s">
        <v>72</v>
      </c>
      <c r="H39" s="7" t="s">
        <v>46</v>
      </c>
      <c r="I39" s="5" t="s">
        <v>42</v>
      </c>
      <c r="J39" s="8">
        <v>2</v>
      </c>
      <c r="K39" s="7" t="s">
        <v>176</v>
      </c>
      <c r="L39" s="8" t="s">
        <v>58</v>
      </c>
      <c r="M39" s="9"/>
    </row>
    <row r="40" spans="1:13" x14ac:dyDescent="0.35">
      <c r="A40" s="5" t="s">
        <v>179</v>
      </c>
      <c r="B40" s="5" t="s">
        <v>171</v>
      </c>
      <c r="C40" s="6">
        <v>46370</v>
      </c>
      <c r="D40" s="6">
        <v>46383</v>
      </c>
      <c r="E40" s="7" t="s">
        <v>128</v>
      </c>
      <c r="F40" s="7" t="s">
        <v>180</v>
      </c>
      <c r="G40" s="5" t="s">
        <v>71</v>
      </c>
      <c r="H40" s="7" t="s">
        <v>46</v>
      </c>
      <c r="I40" s="5" t="s">
        <v>42</v>
      </c>
      <c r="J40" s="8">
        <v>2</v>
      </c>
      <c r="K40" s="7" t="s">
        <v>176</v>
      </c>
      <c r="L40" s="8" t="s">
        <v>58</v>
      </c>
      <c r="M40" s="9"/>
    </row>
    <row r="41" spans="1:13" x14ac:dyDescent="0.35">
      <c r="A41" s="5" t="s">
        <v>181</v>
      </c>
      <c r="B41" s="5" t="s">
        <v>171</v>
      </c>
      <c r="C41" s="6">
        <v>46370</v>
      </c>
      <c r="D41" s="6">
        <v>46383</v>
      </c>
      <c r="E41" s="7" t="s">
        <v>128</v>
      </c>
      <c r="F41" s="7" t="s">
        <v>182</v>
      </c>
      <c r="G41" s="5" t="s">
        <v>66</v>
      </c>
      <c r="H41" s="7" t="s">
        <v>46</v>
      </c>
      <c r="I41" s="5" t="s">
        <v>42</v>
      </c>
      <c r="J41" s="8">
        <v>2</v>
      </c>
      <c r="K41" s="7" t="s">
        <v>176</v>
      </c>
      <c r="L41" s="8" t="s">
        <v>58</v>
      </c>
      <c r="M41" s="9"/>
    </row>
    <row r="42" spans="1:13" x14ac:dyDescent="0.35">
      <c r="A42" s="5" t="s">
        <v>183</v>
      </c>
      <c r="B42" s="5" t="s">
        <v>171</v>
      </c>
      <c r="C42" s="6">
        <v>46370</v>
      </c>
      <c r="D42" s="6">
        <v>46383</v>
      </c>
      <c r="E42" s="7" t="s">
        <v>128</v>
      </c>
      <c r="F42" s="7" t="s">
        <v>184</v>
      </c>
      <c r="G42" s="5" t="s">
        <v>56</v>
      </c>
      <c r="H42" s="7" t="s">
        <v>46</v>
      </c>
      <c r="I42" s="5" t="s">
        <v>42</v>
      </c>
      <c r="J42" s="8">
        <v>2</v>
      </c>
      <c r="K42" s="7" t="s">
        <v>176</v>
      </c>
      <c r="L42" s="8" t="s">
        <v>58</v>
      </c>
      <c r="M42" s="9"/>
    </row>
    <row r="43" spans="1:13" x14ac:dyDescent="0.35">
      <c r="A43" s="5" t="s">
        <v>185</v>
      </c>
      <c r="B43" s="5" t="s">
        <v>171</v>
      </c>
      <c r="C43" s="6">
        <v>46370</v>
      </c>
      <c r="D43" s="6">
        <v>46383</v>
      </c>
      <c r="E43" s="7" t="s">
        <v>186</v>
      </c>
      <c r="F43" s="7" t="s">
        <v>187</v>
      </c>
      <c r="G43" s="5" t="s">
        <v>72</v>
      </c>
      <c r="H43" s="7" t="s">
        <v>56</v>
      </c>
      <c r="I43" s="5" t="s">
        <v>67</v>
      </c>
      <c r="J43" s="8">
        <v>4</v>
      </c>
      <c r="K43" s="7" t="s">
        <v>188</v>
      </c>
      <c r="L43" s="8" t="s">
        <v>58</v>
      </c>
      <c r="M43" s="9"/>
    </row>
    <row r="44" spans="1:13" x14ac:dyDescent="0.35">
      <c r="A44" s="5" t="s">
        <v>189</v>
      </c>
      <c r="B44" s="5" t="s">
        <v>171</v>
      </c>
      <c r="C44" s="6">
        <v>46370</v>
      </c>
      <c r="D44" s="6">
        <v>46383</v>
      </c>
      <c r="E44" s="7" t="s">
        <v>186</v>
      </c>
      <c r="F44" s="7" t="s">
        <v>190</v>
      </c>
      <c r="G44" s="5" t="s">
        <v>56</v>
      </c>
      <c r="H44" s="7" t="s">
        <v>46</v>
      </c>
      <c r="I44" s="5" t="s">
        <v>67</v>
      </c>
      <c r="J44" s="8">
        <v>4</v>
      </c>
      <c r="K44" s="7" t="s">
        <v>191</v>
      </c>
      <c r="L44" s="8" t="s">
        <v>58</v>
      </c>
      <c r="M44" s="9"/>
    </row>
  </sheetData>
  <autoFilter ref="A1:M44" xr:uid="{00000000-0009-0000-0000-000001000000}"/>
  <conditionalFormatting sqref="L2:L94">
    <cfRule type="expression" dxfId="8" priority="1">
      <formula>$L2="Xong"</formula>
    </cfRule>
    <cfRule type="expression" dxfId="7" priority="2">
      <formula>$L2="Đang làm"</formula>
    </cfRule>
    <cfRule type="expression" dxfId="6" priority="3">
      <formula>$L2="Trễ hạn"</formula>
    </cfRule>
  </conditionalFormatting>
  <dataValidations count="3">
    <dataValidation type="list" allowBlank="1" sqref="L2:L94" xr:uid="{00000000-0002-0000-0100-000000000000}">
      <formula1>"Chưa bắt đầu,Đang làm,Xong,Trễ hạn"</formula1>
    </dataValidation>
    <dataValidation type="list" allowBlank="1" sqref="I2:I94" xr:uid="{00000000-0002-0000-0100-000001000000}">
      <formula1>"Thấp,Trung bình,Cao"</formula1>
    </dataValidation>
    <dataValidation type="list" sqref="G2:G94" xr:uid="{00000000-0002-0000-0100-000002000000}">
      <formula1>"Bảo,Vũ,Bằng,Hương,Ân,Khôi"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3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60" customWidth="1"/>
    <col min="3" max="3" width="9" customWidth="1"/>
    <col min="4" max="17" width="6.453125" customWidth="1"/>
  </cols>
  <sheetData>
    <row r="1" spans="1:17" ht="26" x14ac:dyDescent="0.35">
      <c r="A1" s="4" t="s">
        <v>16</v>
      </c>
      <c r="B1" s="4" t="s">
        <v>21</v>
      </c>
      <c r="C1" s="4" t="s">
        <v>22</v>
      </c>
      <c r="D1" s="4" t="s">
        <v>192</v>
      </c>
      <c r="E1" s="4" t="s">
        <v>193</v>
      </c>
      <c r="F1" s="4" t="s">
        <v>194</v>
      </c>
      <c r="G1" s="4" t="s">
        <v>195</v>
      </c>
      <c r="H1" s="4" t="s">
        <v>196</v>
      </c>
      <c r="I1" s="4" t="s">
        <v>197</v>
      </c>
      <c r="J1" s="4" t="s">
        <v>198</v>
      </c>
      <c r="K1" s="4" t="s">
        <v>199</v>
      </c>
      <c r="L1" s="4" t="s">
        <v>200</v>
      </c>
      <c r="M1" s="4" t="s">
        <v>77</v>
      </c>
      <c r="N1" s="4" t="s">
        <v>80</v>
      </c>
      <c r="O1" s="4" t="s">
        <v>83</v>
      </c>
      <c r="P1" s="4" t="s">
        <v>86</v>
      </c>
      <c r="Q1" s="4" t="s">
        <v>90</v>
      </c>
    </row>
    <row r="2" spans="1:17" x14ac:dyDescent="0.35">
      <c r="A2" s="4"/>
      <c r="B2" s="4" t="s">
        <v>201</v>
      </c>
      <c r="C2" s="4"/>
      <c r="D2" s="10">
        <v>46286</v>
      </c>
      <c r="E2" s="10">
        <v>46293</v>
      </c>
      <c r="F2" s="10">
        <v>46300</v>
      </c>
      <c r="G2" s="10">
        <v>46307</v>
      </c>
      <c r="H2" s="10">
        <v>46314</v>
      </c>
      <c r="I2" s="10">
        <v>46321</v>
      </c>
      <c r="J2" s="10">
        <v>46328</v>
      </c>
      <c r="K2" s="10">
        <v>46335</v>
      </c>
      <c r="L2" s="10">
        <v>46342</v>
      </c>
      <c r="M2" s="10">
        <v>46349</v>
      </c>
      <c r="N2" s="10">
        <v>46356</v>
      </c>
      <c r="O2" s="10">
        <v>46363</v>
      </c>
      <c r="P2" s="10">
        <v>46370</v>
      </c>
      <c r="Q2" s="10">
        <v>46377</v>
      </c>
    </row>
    <row r="3" spans="1:17" x14ac:dyDescent="0.35">
      <c r="A3" s="11" t="str">
        <f>'Phân công'!A2</f>
        <v>T01</v>
      </c>
      <c r="B3" s="12" t="str">
        <f>'Phân công'!F2</f>
        <v>Khảo sát đề tài, chọn dataset, cài Neo4j, nạp LDBC SF0.1, thống kê dữ liệu</v>
      </c>
      <c r="C3" s="11" t="str">
        <f>'Phân công'!G2</f>
        <v>Bảo</v>
      </c>
      <c r="D3" s="13" t="str">
        <f>IF(AND('Phân công'!$C2&lt;=D$2+6,'Phân công'!$D2&gt;=D$2),IF('Phân công'!$L2="Xong","✓","■"),"")</f>
        <v>✓</v>
      </c>
      <c r="E3" s="13" t="str">
        <f>IF(AND('Phân công'!$C2&lt;=E$2+6,'Phân công'!$D2&gt;=E$2),IF('Phân công'!$L2="Xong","✓","■"),"")</f>
        <v/>
      </c>
      <c r="F3" s="13" t="str">
        <f>IF(AND('Phân công'!$C2&lt;=F$2+6,'Phân công'!$D2&gt;=F$2),IF('Phân công'!$L2="Xong","✓","■"),"")</f>
        <v/>
      </c>
      <c r="G3" s="13" t="str">
        <f>IF(AND('Phân công'!$C2&lt;=G$2+6,'Phân công'!$D2&gt;=G$2),IF('Phân công'!$L2="Xong","✓","■"),"")</f>
        <v/>
      </c>
      <c r="H3" s="13" t="str">
        <f>IF(AND('Phân công'!$C2&lt;=H$2+6,'Phân công'!$D2&gt;=H$2),IF('Phân công'!$L2="Xong","✓","■"),"")</f>
        <v/>
      </c>
      <c r="I3" s="13" t="str">
        <f>IF(AND('Phân công'!$C2&lt;=I$2+6,'Phân công'!$D2&gt;=I$2),IF('Phân công'!$L2="Xong","✓","■"),"")</f>
        <v/>
      </c>
      <c r="J3" s="13" t="str">
        <f>IF(AND('Phân công'!$C2&lt;=J$2+6,'Phân công'!$D2&gt;=J$2),IF('Phân công'!$L2="Xong","✓","■"),"")</f>
        <v/>
      </c>
      <c r="K3" s="13" t="str">
        <f>IF(AND('Phân công'!$C2&lt;=K$2+6,'Phân công'!$D2&gt;=K$2),IF('Phân công'!$L2="Xong","✓","■"),"")</f>
        <v/>
      </c>
      <c r="L3" s="13" t="str">
        <f>IF(AND('Phân công'!$C2&lt;=L$2+6,'Phân công'!$D2&gt;=L$2),IF('Phân công'!$L2="Xong","✓","■"),"")</f>
        <v/>
      </c>
      <c r="M3" s="13" t="str">
        <f>IF(AND('Phân công'!$C2&lt;=M$2+6,'Phân công'!$D2&gt;=M$2),IF('Phân công'!$L2="Xong","✓","■"),"")</f>
        <v/>
      </c>
      <c r="N3" s="13" t="str">
        <f>IF(AND('Phân công'!$C2&lt;=N$2+6,'Phân công'!$D2&gt;=N$2),IF('Phân công'!$L2="Xong","✓","■"),"")</f>
        <v/>
      </c>
      <c r="O3" s="13" t="str">
        <f>IF(AND('Phân công'!$C2&lt;=O$2+6,'Phân công'!$D2&gt;=O$2),IF('Phân công'!$L2="Xong","✓","■"),"")</f>
        <v/>
      </c>
      <c r="P3" s="13" t="str">
        <f>IF(AND('Phân công'!$C2&lt;=P$2+6,'Phân công'!$D2&gt;=P$2),IF('Phân công'!$L2="Xong","✓","■"),"")</f>
        <v/>
      </c>
      <c r="Q3" s="13" t="str">
        <f>IF(AND('Phân công'!$C2&lt;=Q$2+6,'Phân công'!$D2&gt;=Q$2),IF('Phân công'!$L2="Xong","✓","■"),"")</f>
        <v/>
      </c>
    </row>
    <row r="4" spans="1:17" x14ac:dyDescent="0.35">
      <c r="A4" s="11" t="str">
        <f>'Phân công'!A3</f>
        <v>T02</v>
      </c>
      <c r="B4" s="12" t="str">
        <f>'Phân công'!F3</f>
        <v>Viết proposal v1, related work, chuẩn bị buổi review</v>
      </c>
      <c r="C4" s="11" t="str">
        <f>'Phân công'!G3</f>
        <v>Bảo</v>
      </c>
      <c r="D4" s="13" t="str">
        <f>IF(AND('Phân công'!$C3&lt;=D$2+6,'Phân công'!$D3&gt;=D$2),IF('Phân công'!$L3="Xong","✓","■"),"")</f>
        <v/>
      </c>
      <c r="E4" s="13" t="str">
        <f>IF(AND('Phân công'!$C3&lt;=E$2+6,'Phân công'!$D3&gt;=E$2),IF('Phân công'!$L3="Xong","✓","■"),"")</f>
        <v>✓</v>
      </c>
      <c r="F4" s="13" t="str">
        <f>IF(AND('Phân công'!$C3&lt;=F$2+6,'Phân công'!$D3&gt;=F$2),IF('Phân công'!$L3="Xong","✓","■"),"")</f>
        <v/>
      </c>
      <c r="G4" s="13" t="str">
        <f>IF(AND('Phân công'!$C3&lt;=G$2+6,'Phân công'!$D3&gt;=G$2),IF('Phân công'!$L3="Xong","✓","■"),"")</f>
        <v/>
      </c>
      <c r="H4" s="13" t="str">
        <f>IF(AND('Phân công'!$C3&lt;=H$2+6,'Phân công'!$D3&gt;=H$2),IF('Phân công'!$L3="Xong","✓","■"),"")</f>
        <v/>
      </c>
      <c r="I4" s="13" t="str">
        <f>IF(AND('Phân công'!$C3&lt;=I$2+6,'Phân công'!$D3&gt;=I$2),IF('Phân công'!$L3="Xong","✓","■"),"")</f>
        <v/>
      </c>
      <c r="J4" s="13" t="str">
        <f>IF(AND('Phân công'!$C3&lt;=J$2+6,'Phân công'!$D3&gt;=J$2),IF('Phân công'!$L3="Xong","✓","■"),"")</f>
        <v/>
      </c>
      <c r="K4" s="13" t="str">
        <f>IF(AND('Phân công'!$C3&lt;=K$2+6,'Phân công'!$D3&gt;=K$2),IF('Phân công'!$L3="Xong","✓","■"),"")</f>
        <v/>
      </c>
      <c r="L4" s="13" t="str">
        <f>IF(AND('Phân công'!$C3&lt;=L$2+6,'Phân công'!$D3&gt;=L$2),IF('Phân công'!$L3="Xong","✓","■"),"")</f>
        <v/>
      </c>
      <c r="M4" s="13" t="str">
        <f>IF(AND('Phân công'!$C3&lt;=M$2+6,'Phân công'!$D3&gt;=M$2),IF('Phân công'!$L3="Xong","✓","■"),"")</f>
        <v/>
      </c>
      <c r="N4" s="13" t="str">
        <f>IF(AND('Phân công'!$C3&lt;=N$2+6,'Phân công'!$D3&gt;=N$2),IF('Phân công'!$L3="Xong","✓","■"),"")</f>
        <v/>
      </c>
      <c r="O4" s="13" t="str">
        <f>IF(AND('Phân công'!$C3&lt;=O$2+6,'Phân công'!$D3&gt;=O$2),IF('Phân công'!$L3="Xong","✓","■"),"")</f>
        <v/>
      </c>
      <c r="P4" s="13" t="str">
        <f>IF(AND('Phân công'!$C3&lt;=P$2+6,'Phân công'!$D3&gt;=P$2),IF('Phân công'!$L3="Xong","✓","■"),"")</f>
        <v/>
      </c>
      <c r="Q4" s="13" t="str">
        <f>IF(AND('Phân công'!$C3&lt;=Q$2+6,'Phân công'!$D3&gt;=Q$2),IF('Phân công'!$L3="Xong","✓","■"),"")</f>
        <v/>
      </c>
    </row>
    <row r="5" spans="1:17" x14ac:dyDescent="0.35">
      <c r="A5" s="11" t="str">
        <f>'Phân công'!A4</f>
        <v>T03</v>
      </c>
      <c r="B5" s="12" t="str">
        <f>'Phân công'!F4</f>
        <v>Biên tập, rà soát chính tả và định dạng proposal v1</v>
      </c>
      <c r="C5" s="11" t="str">
        <f>'Phân công'!G4</f>
        <v>Hương</v>
      </c>
      <c r="D5" s="13" t="str">
        <f>IF(AND('Phân công'!$C4&lt;=D$2+6,'Phân công'!$D4&gt;=D$2),IF('Phân công'!$L4="Xong","✓","■"),"")</f>
        <v/>
      </c>
      <c r="E5" s="13" t="str">
        <f>IF(AND('Phân công'!$C4&lt;=E$2+6,'Phân công'!$D4&gt;=E$2),IF('Phân công'!$L4="Xong","✓","■"),"")</f>
        <v>✓</v>
      </c>
      <c r="F5" s="13" t="str">
        <f>IF(AND('Phân công'!$C4&lt;=F$2+6,'Phân công'!$D4&gt;=F$2),IF('Phân công'!$L4="Xong","✓","■"),"")</f>
        <v/>
      </c>
      <c r="G5" s="13" t="str">
        <f>IF(AND('Phân công'!$C4&lt;=G$2+6,'Phân công'!$D4&gt;=G$2),IF('Phân công'!$L4="Xong","✓","■"),"")</f>
        <v/>
      </c>
      <c r="H5" s="13" t="str">
        <f>IF(AND('Phân công'!$C4&lt;=H$2+6,'Phân công'!$D4&gt;=H$2),IF('Phân công'!$L4="Xong","✓","■"),"")</f>
        <v/>
      </c>
      <c r="I5" s="13" t="str">
        <f>IF(AND('Phân công'!$C4&lt;=I$2+6,'Phân công'!$D4&gt;=I$2),IF('Phân công'!$L4="Xong","✓","■"),"")</f>
        <v/>
      </c>
      <c r="J5" s="13" t="str">
        <f>IF(AND('Phân công'!$C4&lt;=J$2+6,'Phân công'!$D4&gt;=J$2),IF('Phân công'!$L4="Xong","✓","■"),"")</f>
        <v/>
      </c>
      <c r="K5" s="13" t="str">
        <f>IF(AND('Phân công'!$C4&lt;=K$2+6,'Phân công'!$D4&gt;=K$2),IF('Phân công'!$L4="Xong","✓","■"),"")</f>
        <v/>
      </c>
      <c r="L5" s="13" t="str">
        <f>IF(AND('Phân công'!$C4&lt;=L$2+6,'Phân công'!$D4&gt;=L$2),IF('Phân công'!$L4="Xong","✓","■"),"")</f>
        <v/>
      </c>
      <c r="M5" s="13" t="str">
        <f>IF(AND('Phân công'!$C4&lt;=M$2+6,'Phân công'!$D4&gt;=M$2),IF('Phân công'!$L4="Xong","✓","■"),"")</f>
        <v/>
      </c>
      <c r="N5" s="13" t="str">
        <f>IF(AND('Phân công'!$C4&lt;=N$2+6,'Phân công'!$D4&gt;=N$2),IF('Phân công'!$L4="Xong","✓","■"),"")</f>
        <v/>
      </c>
      <c r="O5" s="13" t="str">
        <f>IF(AND('Phân công'!$C4&lt;=O$2+6,'Phân công'!$D4&gt;=O$2),IF('Phân công'!$L4="Xong","✓","■"),"")</f>
        <v/>
      </c>
      <c r="P5" s="13" t="str">
        <f>IF(AND('Phân công'!$C4&lt;=P$2+6,'Phân công'!$D4&gt;=P$2),IF('Phân công'!$L4="Xong","✓","■"),"")</f>
        <v/>
      </c>
      <c r="Q5" s="13" t="str">
        <f>IF(AND('Phân công'!$C4&lt;=Q$2+6,'Phân công'!$D4&gt;=Q$2),IF('Phân công'!$L4="Xong","✓","■"),"")</f>
        <v/>
      </c>
    </row>
    <row r="6" spans="1:17" x14ac:dyDescent="0.35">
      <c r="A6" s="11" t="str">
        <f>'Phân công'!A5</f>
        <v>T04</v>
      </c>
      <c r="B6" s="12" t="str">
        <f>'Phân công'!F5</f>
        <v>Sửa proposal v2 theo feedback (guideline Q/A, baseline mạnh, chống rò rỉ, Groq, Appendix 3)</v>
      </c>
      <c r="C6" s="11" t="str">
        <f>'Phân công'!G5</f>
        <v>Bảo</v>
      </c>
      <c r="D6" s="13" t="str">
        <f>IF(AND('Phân công'!$C5&lt;=D$2+6,'Phân công'!$D5&gt;=D$2),IF('Phân công'!$L5="Xong","✓","■"),"")</f>
        <v/>
      </c>
      <c r="E6" s="13" t="str">
        <f>IF(AND('Phân công'!$C5&lt;=E$2+6,'Phân công'!$D5&gt;=E$2),IF('Phân công'!$L5="Xong","✓","■"),"")</f>
        <v/>
      </c>
      <c r="F6" s="13" t="str">
        <f>IF(AND('Phân công'!$C5&lt;=F$2+6,'Phân công'!$D5&gt;=F$2),IF('Phân công'!$L5="Xong","✓","■"),"")</f>
        <v>■</v>
      </c>
      <c r="G6" s="13" t="str">
        <f>IF(AND('Phân công'!$C5&lt;=G$2+6,'Phân công'!$D5&gt;=G$2),IF('Phân công'!$L5="Xong","✓","■"),"")</f>
        <v/>
      </c>
      <c r="H6" s="13" t="str">
        <f>IF(AND('Phân công'!$C5&lt;=H$2+6,'Phân công'!$D5&gt;=H$2),IF('Phân công'!$L5="Xong","✓","■"),"")</f>
        <v/>
      </c>
      <c r="I6" s="13" t="str">
        <f>IF(AND('Phân công'!$C5&lt;=I$2+6,'Phân công'!$D5&gt;=I$2),IF('Phân công'!$L5="Xong","✓","■"),"")</f>
        <v/>
      </c>
      <c r="J6" s="13" t="str">
        <f>IF(AND('Phân công'!$C5&lt;=J$2+6,'Phân công'!$D5&gt;=J$2),IF('Phân công'!$L5="Xong","✓","■"),"")</f>
        <v/>
      </c>
      <c r="K6" s="13" t="str">
        <f>IF(AND('Phân công'!$C5&lt;=K$2+6,'Phân công'!$D5&gt;=K$2),IF('Phân công'!$L5="Xong","✓","■"),"")</f>
        <v/>
      </c>
      <c r="L6" s="13" t="str">
        <f>IF(AND('Phân công'!$C5&lt;=L$2+6,'Phân công'!$D5&gt;=L$2),IF('Phân công'!$L5="Xong","✓","■"),"")</f>
        <v/>
      </c>
      <c r="M6" s="13" t="str">
        <f>IF(AND('Phân công'!$C5&lt;=M$2+6,'Phân công'!$D5&gt;=M$2),IF('Phân công'!$L5="Xong","✓","■"),"")</f>
        <v/>
      </c>
      <c r="N6" s="13" t="str">
        <f>IF(AND('Phân công'!$C5&lt;=N$2+6,'Phân công'!$D5&gt;=N$2),IF('Phân công'!$L5="Xong","✓","■"),"")</f>
        <v/>
      </c>
      <c r="O6" s="13" t="str">
        <f>IF(AND('Phân công'!$C5&lt;=O$2+6,'Phân công'!$D5&gt;=O$2),IF('Phân công'!$L5="Xong","✓","■"),"")</f>
        <v/>
      </c>
      <c r="P6" s="13" t="str">
        <f>IF(AND('Phân công'!$C5&lt;=P$2+6,'Phân công'!$D5&gt;=P$2),IF('Phân công'!$L5="Xong","✓","■"),"")</f>
        <v/>
      </c>
      <c r="Q6" s="13" t="str">
        <f>IF(AND('Phân công'!$C5&lt;=Q$2+6,'Phân công'!$D5&gt;=Q$2),IF('Phân công'!$L5="Xong","✓","■"),"")</f>
        <v/>
      </c>
    </row>
    <row r="7" spans="1:17" x14ac:dyDescent="0.35">
      <c r="A7" s="11" t="str">
        <f>'Phân công'!A6</f>
        <v>T05</v>
      </c>
      <c r="B7" s="12" t="str">
        <f>'Phân công'!F6</f>
        <v>Dựng Neo4j server chung (Docker) + mạng Tailscale; viết hướng dẫn kết nối cho nhóm</v>
      </c>
      <c r="C7" s="11" t="str">
        <f>'Phân công'!G6</f>
        <v>Khôi</v>
      </c>
      <c r="D7" s="13" t="str">
        <f>IF(AND('Phân công'!$C6&lt;=D$2+6,'Phân công'!$D6&gt;=D$2),IF('Phân công'!$L6="Xong","✓","■"),"")</f>
        <v/>
      </c>
      <c r="E7" s="13" t="str">
        <f>IF(AND('Phân công'!$C6&lt;=E$2+6,'Phân công'!$D6&gt;=E$2),IF('Phân công'!$L6="Xong","✓","■"),"")</f>
        <v/>
      </c>
      <c r="F7" s="13" t="str">
        <f>IF(AND('Phân công'!$C6&lt;=F$2+6,'Phân công'!$D6&gt;=F$2),IF('Phân công'!$L6="Xong","✓","■"),"")</f>
        <v>■</v>
      </c>
      <c r="G7" s="13" t="str">
        <f>IF(AND('Phân công'!$C6&lt;=G$2+6,'Phân công'!$D6&gt;=G$2),IF('Phân công'!$L6="Xong","✓","■"),"")</f>
        <v/>
      </c>
      <c r="H7" s="13" t="str">
        <f>IF(AND('Phân công'!$C6&lt;=H$2+6,'Phân công'!$D6&gt;=H$2),IF('Phân công'!$L6="Xong","✓","■"),"")</f>
        <v/>
      </c>
      <c r="I7" s="13" t="str">
        <f>IF(AND('Phân công'!$C6&lt;=I$2+6,'Phân công'!$D6&gt;=I$2),IF('Phân công'!$L6="Xong","✓","■"),"")</f>
        <v/>
      </c>
      <c r="J7" s="13" t="str">
        <f>IF(AND('Phân công'!$C6&lt;=J$2+6,'Phân công'!$D6&gt;=J$2),IF('Phân công'!$L6="Xong","✓","■"),"")</f>
        <v/>
      </c>
      <c r="K7" s="13" t="str">
        <f>IF(AND('Phân công'!$C6&lt;=K$2+6,'Phân công'!$D6&gt;=K$2),IF('Phân công'!$L6="Xong","✓","■"),"")</f>
        <v/>
      </c>
      <c r="L7" s="13" t="str">
        <f>IF(AND('Phân công'!$C6&lt;=L$2+6,'Phân công'!$D6&gt;=L$2),IF('Phân công'!$L6="Xong","✓","■"),"")</f>
        <v/>
      </c>
      <c r="M7" s="13" t="str">
        <f>IF(AND('Phân công'!$C6&lt;=M$2+6,'Phân công'!$D6&gt;=M$2),IF('Phân công'!$L6="Xong","✓","■"),"")</f>
        <v/>
      </c>
      <c r="N7" s="13" t="str">
        <f>IF(AND('Phân công'!$C6&lt;=N$2+6,'Phân công'!$D6&gt;=N$2),IF('Phân công'!$L6="Xong","✓","■"),"")</f>
        <v/>
      </c>
      <c r="O7" s="13" t="str">
        <f>IF(AND('Phân công'!$C6&lt;=O$2+6,'Phân công'!$D6&gt;=O$2),IF('Phân công'!$L6="Xong","✓","■"),"")</f>
        <v/>
      </c>
      <c r="P7" s="13" t="str">
        <f>IF(AND('Phân công'!$C6&lt;=P$2+6,'Phân công'!$D6&gt;=P$2),IF('Phân công'!$L6="Xong","✓","■"),"")</f>
        <v/>
      </c>
      <c r="Q7" s="13" t="str">
        <f>IF(AND('Phân công'!$C6&lt;=Q$2+6,'Phân công'!$D6&gt;=Q$2),IF('Phân công'!$L6="Xong","✓","■"),"")</f>
        <v/>
      </c>
    </row>
    <row r="8" spans="1:17" x14ac:dyDescent="0.35">
      <c r="A8" s="11" t="str">
        <f>'Phân công'!A7</f>
        <v>T06</v>
      </c>
      <c r="B8" s="12" t="str">
        <f>'Phân công'!F7</f>
        <v>Phổ biến guideline QA cho nhóm, ghi nhận và cập nhật quy ước khi có thắc mắc</v>
      </c>
      <c r="C8" s="11" t="str">
        <f>'Phân công'!G7</f>
        <v>Hương</v>
      </c>
      <c r="D8" s="13" t="str">
        <f>IF(AND('Phân công'!$C7&lt;=D$2+6,'Phân công'!$D7&gt;=D$2),IF('Phân công'!$L7="Xong","✓","■"),"")</f>
        <v/>
      </c>
      <c r="E8" s="13" t="str">
        <f>IF(AND('Phân công'!$C7&lt;=E$2+6,'Phân công'!$D7&gt;=E$2),IF('Phân công'!$L7="Xong","✓","■"),"")</f>
        <v/>
      </c>
      <c r="F8" s="13" t="str">
        <f>IF(AND('Phân công'!$C7&lt;=F$2+6,'Phân công'!$D7&gt;=F$2),IF('Phân công'!$L7="Xong","✓","■"),"")</f>
        <v>■</v>
      </c>
      <c r="G8" s="13" t="str">
        <f>IF(AND('Phân công'!$C7&lt;=G$2+6,'Phân công'!$D7&gt;=G$2),IF('Phân công'!$L7="Xong","✓","■"),"")</f>
        <v/>
      </c>
      <c r="H8" s="13" t="str">
        <f>IF(AND('Phân công'!$C7&lt;=H$2+6,'Phân công'!$D7&gt;=H$2),IF('Phân công'!$L7="Xong","✓","■"),"")</f>
        <v/>
      </c>
      <c r="I8" s="13" t="str">
        <f>IF(AND('Phân công'!$C7&lt;=I$2+6,'Phân công'!$D7&gt;=I$2),IF('Phân công'!$L7="Xong","✓","■"),"")</f>
        <v/>
      </c>
      <c r="J8" s="13" t="str">
        <f>IF(AND('Phân công'!$C7&lt;=J$2+6,'Phân công'!$D7&gt;=J$2),IF('Phân công'!$L7="Xong","✓","■"),"")</f>
        <v/>
      </c>
      <c r="K8" s="13" t="str">
        <f>IF(AND('Phân công'!$C7&lt;=K$2+6,'Phân công'!$D7&gt;=K$2),IF('Phân công'!$L7="Xong","✓","■"),"")</f>
        <v/>
      </c>
      <c r="L8" s="13" t="str">
        <f>IF(AND('Phân công'!$C7&lt;=L$2+6,'Phân công'!$D7&gt;=L$2),IF('Phân công'!$L7="Xong","✓","■"),"")</f>
        <v/>
      </c>
      <c r="M8" s="13" t="str">
        <f>IF(AND('Phân công'!$C7&lt;=M$2+6,'Phân công'!$D7&gt;=M$2),IF('Phân công'!$L7="Xong","✓","■"),"")</f>
        <v/>
      </c>
      <c r="N8" s="13" t="str">
        <f>IF(AND('Phân công'!$C7&lt;=N$2+6,'Phân công'!$D7&gt;=N$2),IF('Phân công'!$L7="Xong","✓","■"),"")</f>
        <v/>
      </c>
      <c r="O8" s="13" t="str">
        <f>IF(AND('Phân công'!$C7&lt;=O$2+6,'Phân công'!$D7&gt;=O$2),IF('Phân công'!$L7="Xong","✓","■"),"")</f>
        <v/>
      </c>
      <c r="P8" s="13" t="str">
        <f>IF(AND('Phân công'!$C7&lt;=P$2+6,'Phân công'!$D7&gt;=P$2),IF('Phân công'!$L7="Xong","✓","■"),"")</f>
        <v/>
      </c>
      <c r="Q8" s="13" t="str">
        <f>IF(AND('Phân công'!$C7&lt;=Q$2+6,'Phân công'!$D7&gt;=Q$2),IF('Phân công'!$L7="Xong","✓","■"),"")</f>
        <v/>
      </c>
    </row>
    <row r="9" spans="1:17" x14ac:dyDescent="0.35">
      <c r="A9" s="11" t="str">
        <f>'Phân công'!A8</f>
        <v>T07</v>
      </c>
      <c r="B9" s="12" t="str">
        <f>'Phân công'!F8</f>
        <v>Template + Cypher gold loại lookup; kiểm tra chéo 20% câu của Khôi</v>
      </c>
      <c r="C9" s="11" t="str">
        <f>'Phân công'!G8</f>
        <v>Bảo</v>
      </c>
      <c r="D9" s="13" t="str">
        <f>IF(AND('Phân công'!$C8&lt;=D$2+6,'Phân công'!$D8&gt;=D$2),IF('Phân công'!$L8="Xong","✓","■"),"")</f>
        <v/>
      </c>
      <c r="E9" s="13" t="str">
        <f>IF(AND('Phân công'!$C8&lt;=E$2+6,'Phân công'!$D8&gt;=E$2),IF('Phân công'!$L8="Xong","✓","■"),"")</f>
        <v/>
      </c>
      <c r="F9" s="13" t="str">
        <f>IF(AND('Phân công'!$C8&lt;=F$2+6,'Phân công'!$D8&gt;=F$2),IF('Phân công'!$L8="Xong","✓","■"),"")</f>
        <v>■</v>
      </c>
      <c r="G9" s="13" t="str">
        <f>IF(AND('Phân công'!$C8&lt;=G$2+6,'Phân công'!$D8&gt;=G$2),IF('Phân công'!$L8="Xong","✓","■"),"")</f>
        <v>■</v>
      </c>
      <c r="H9" s="13" t="str">
        <f>IF(AND('Phân công'!$C8&lt;=H$2+6,'Phân công'!$D8&gt;=H$2),IF('Phân công'!$L8="Xong","✓","■"),"")</f>
        <v/>
      </c>
      <c r="I9" s="13" t="str">
        <f>IF(AND('Phân công'!$C8&lt;=I$2+6,'Phân công'!$D8&gt;=I$2),IF('Phân công'!$L8="Xong","✓","■"),"")</f>
        <v/>
      </c>
      <c r="J9" s="13" t="str">
        <f>IF(AND('Phân công'!$C8&lt;=J$2+6,'Phân công'!$D8&gt;=J$2),IF('Phân công'!$L8="Xong","✓","■"),"")</f>
        <v/>
      </c>
      <c r="K9" s="13" t="str">
        <f>IF(AND('Phân công'!$C8&lt;=K$2+6,'Phân công'!$D8&gt;=K$2),IF('Phân công'!$L8="Xong","✓","■"),"")</f>
        <v/>
      </c>
      <c r="L9" s="13" t="str">
        <f>IF(AND('Phân công'!$C8&lt;=L$2+6,'Phân công'!$D8&gt;=L$2),IF('Phân công'!$L8="Xong","✓","■"),"")</f>
        <v/>
      </c>
      <c r="M9" s="13" t="str">
        <f>IF(AND('Phân công'!$C8&lt;=M$2+6,'Phân công'!$D8&gt;=M$2),IF('Phân công'!$L8="Xong","✓","■"),"")</f>
        <v/>
      </c>
      <c r="N9" s="13" t="str">
        <f>IF(AND('Phân công'!$C8&lt;=N$2+6,'Phân công'!$D8&gt;=N$2),IF('Phân công'!$L8="Xong","✓","■"),"")</f>
        <v/>
      </c>
      <c r="O9" s="13" t="str">
        <f>IF(AND('Phân công'!$C8&lt;=O$2+6,'Phân công'!$D8&gt;=O$2),IF('Phân công'!$L8="Xong","✓","■"),"")</f>
        <v/>
      </c>
      <c r="P9" s="13" t="str">
        <f>IF(AND('Phân công'!$C8&lt;=P$2+6,'Phân công'!$D8&gt;=P$2),IF('Phân công'!$L8="Xong","✓","■"),"")</f>
        <v/>
      </c>
      <c r="Q9" s="13" t="str">
        <f>IF(AND('Phân công'!$C8&lt;=Q$2+6,'Phân công'!$D8&gt;=Q$2),IF('Phân công'!$L8="Xong","✓","■"),"")</f>
        <v/>
      </c>
    </row>
    <row r="10" spans="1:17" x14ac:dyDescent="0.35">
      <c r="A10" s="11" t="str">
        <f>'Phân công'!A9</f>
        <v>T08</v>
      </c>
      <c r="B10" s="12" t="str">
        <f>'Phân công'!F9</f>
        <v>Template + Cypher gold loại aggregation; kiểm tra chéo 20% câu của Vũ</v>
      </c>
      <c r="C10" s="11" t="str">
        <f>'Phân công'!G9</f>
        <v>Bằng</v>
      </c>
      <c r="D10" s="13" t="str">
        <f>IF(AND('Phân công'!$C9&lt;=D$2+6,'Phân công'!$D9&gt;=D$2),IF('Phân công'!$L9="Xong","✓","■"),"")</f>
        <v/>
      </c>
      <c r="E10" s="13" t="str">
        <f>IF(AND('Phân công'!$C9&lt;=E$2+6,'Phân công'!$D9&gt;=E$2),IF('Phân công'!$L9="Xong","✓","■"),"")</f>
        <v/>
      </c>
      <c r="F10" s="13" t="str">
        <f>IF(AND('Phân công'!$C9&lt;=F$2+6,'Phân công'!$D9&gt;=F$2),IF('Phân công'!$L9="Xong","✓","■"),"")</f>
        <v>■</v>
      </c>
      <c r="G10" s="13" t="str">
        <f>IF(AND('Phân công'!$C9&lt;=G$2+6,'Phân công'!$D9&gt;=G$2),IF('Phân công'!$L9="Xong","✓","■"),"")</f>
        <v>■</v>
      </c>
      <c r="H10" s="13" t="str">
        <f>IF(AND('Phân công'!$C9&lt;=H$2+6,'Phân công'!$D9&gt;=H$2),IF('Phân công'!$L9="Xong","✓","■"),"")</f>
        <v/>
      </c>
      <c r="I10" s="13" t="str">
        <f>IF(AND('Phân công'!$C9&lt;=I$2+6,'Phân công'!$D9&gt;=I$2),IF('Phân công'!$L9="Xong","✓","■"),"")</f>
        <v/>
      </c>
      <c r="J10" s="13" t="str">
        <f>IF(AND('Phân công'!$C9&lt;=J$2+6,'Phân công'!$D9&gt;=J$2),IF('Phân công'!$L9="Xong","✓","■"),"")</f>
        <v/>
      </c>
      <c r="K10" s="13" t="str">
        <f>IF(AND('Phân công'!$C9&lt;=K$2+6,'Phân công'!$D9&gt;=K$2),IF('Phân công'!$L9="Xong","✓","■"),"")</f>
        <v/>
      </c>
      <c r="L10" s="13" t="str">
        <f>IF(AND('Phân công'!$C9&lt;=L$2+6,'Phân công'!$D9&gt;=L$2),IF('Phân công'!$L9="Xong","✓","■"),"")</f>
        <v/>
      </c>
      <c r="M10" s="13" t="str">
        <f>IF(AND('Phân công'!$C9&lt;=M$2+6,'Phân công'!$D9&gt;=M$2),IF('Phân công'!$L9="Xong","✓","■"),"")</f>
        <v/>
      </c>
      <c r="N10" s="13" t="str">
        <f>IF(AND('Phân công'!$C9&lt;=N$2+6,'Phân công'!$D9&gt;=N$2),IF('Phân công'!$L9="Xong","✓","■"),"")</f>
        <v/>
      </c>
      <c r="O10" s="13" t="str">
        <f>IF(AND('Phân công'!$C9&lt;=O$2+6,'Phân công'!$D9&gt;=O$2),IF('Phân công'!$L9="Xong","✓","■"),"")</f>
        <v/>
      </c>
      <c r="P10" s="13" t="str">
        <f>IF(AND('Phân công'!$C9&lt;=P$2+6,'Phân công'!$D9&gt;=P$2),IF('Phân công'!$L9="Xong","✓","■"),"")</f>
        <v/>
      </c>
      <c r="Q10" s="13" t="str">
        <f>IF(AND('Phân công'!$C9&lt;=Q$2+6,'Phân công'!$D9&gt;=Q$2),IF('Phân công'!$L9="Xong","✓","■"),"")</f>
        <v/>
      </c>
    </row>
    <row r="11" spans="1:17" x14ac:dyDescent="0.35">
      <c r="A11" s="11" t="str">
        <f>'Phân công'!A10</f>
        <v>T09</v>
      </c>
      <c r="B11" s="12" t="str">
        <f>'Phân công'!F10</f>
        <v>Template + Cypher gold loại multi_hop; kiểm tra chéo 20% câu của Bằng</v>
      </c>
      <c r="C11" s="11" t="str">
        <f>'Phân công'!G10</f>
        <v>Vũ</v>
      </c>
      <c r="D11" s="13" t="str">
        <f>IF(AND('Phân công'!$C10&lt;=D$2+6,'Phân công'!$D10&gt;=D$2),IF('Phân công'!$L10="Xong","✓","■"),"")</f>
        <v/>
      </c>
      <c r="E11" s="13" t="str">
        <f>IF(AND('Phân công'!$C10&lt;=E$2+6,'Phân công'!$D10&gt;=E$2),IF('Phân công'!$L10="Xong","✓","■"),"")</f>
        <v/>
      </c>
      <c r="F11" s="13" t="str">
        <f>IF(AND('Phân công'!$C10&lt;=F$2+6,'Phân công'!$D10&gt;=F$2),IF('Phân công'!$L10="Xong","✓","■"),"")</f>
        <v>■</v>
      </c>
      <c r="G11" s="13" t="str">
        <f>IF(AND('Phân công'!$C10&lt;=G$2+6,'Phân công'!$D10&gt;=G$2),IF('Phân công'!$L10="Xong","✓","■"),"")</f>
        <v>■</v>
      </c>
      <c r="H11" s="13" t="str">
        <f>IF(AND('Phân công'!$C10&lt;=H$2+6,'Phân công'!$D10&gt;=H$2),IF('Phân công'!$L10="Xong","✓","■"),"")</f>
        <v/>
      </c>
      <c r="I11" s="13" t="str">
        <f>IF(AND('Phân công'!$C10&lt;=I$2+6,'Phân công'!$D10&gt;=I$2),IF('Phân công'!$L10="Xong","✓","■"),"")</f>
        <v/>
      </c>
      <c r="J11" s="13" t="str">
        <f>IF(AND('Phân công'!$C10&lt;=J$2+6,'Phân công'!$D10&gt;=J$2),IF('Phân công'!$L10="Xong","✓","■"),"")</f>
        <v/>
      </c>
      <c r="K11" s="13" t="str">
        <f>IF(AND('Phân công'!$C10&lt;=K$2+6,'Phân công'!$D10&gt;=K$2),IF('Phân công'!$L10="Xong","✓","■"),"")</f>
        <v/>
      </c>
      <c r="L11" s="13" t="str">
        <f>IF(AND('Phân công'!$C10&lt;=L$2+6,'Phân công'!$D10&gt;=L$2),IF('Phân công'!$L10="Xong","✓","■"),"")</f>
        <v/>
      </c>
      <c r="M11" s="13" t="str">
        <f>IF(AND('Phân công'!$C10&lt;=M$2+6,'Phân công'!$D10&gt;=M$2),IF('Phân công'!$L10="Xong","✓","■"),"")</f>
        <v/>
      </c>
      <c r="N11" s="13" t="str">
        <f>IF(AND('Phân công'!$C10&lt;=N$2+6,'Phân công'!$D10&gt;=N$2),IF('Phân công'!$L10="Xong","✓","■"),"")</f>
        <v/>
      </c>
      <c r="O11" s="13" t="str">
        <f>IF(AND('Phân công'!$C10&lt;=O$2+6,'Phân công'!$D10&gt;=O$2),IF('Phân công'!$L10="Xong","✓","■"),"")</f>
        <v/>
      </c>
      <c r="P11" s="13" t="str">
        <f>IF(AND('Phân công'!$C10&lt;=P$2+6,'Phân công'!$D10&gt;=P$2),IF('Phân công'!$L10="Xong","✓","■"),"")</f>
        <v/>
      </c>
      <c r="Q11" s="13" t="str">
        <f>IF(AND('Phân công'!$C10&lt;=Q$2+6,'Phân công'!$D10&gt;=Q$2),IF('Phân công'!$L10="Xong","✓","■"),"")</f>
        <v/>
      </c>
    </row>
    <row r="12" spans="1:17" x14ac:dyDescent="0.35">
      <c r="A12" s="11" t="str">
        <f>'Phân công'!A11</f>
        <v>T10</v>
      </c>
      <c r="B12" s="12" t="str">
        <f>'Phân công'!F11</f>
        <v>Template + Cypher gold loại path; kiểm tra chéo 20% câu của Bảo</v>
      </c>
      <c r="C12" s="11" t="str">
        <f>'Phân công'!G11</f>
        <v>Ân</v>
      </c>
      <c r="D12" s="13" t="str">
        <f>IF(AND('Phân công'!$C11&lt;=D$2+6,'Phân công'!$D11&gt;=D$2),IF('Phân công'!$L11="Xong","✓","■"),"")</f>
        <v/>
      </c>
      <c r="E12" s="13" t="str">
        <f>IF(AND('Phân công'!$C11&lt;=E$2+6,'Phân công'!$D11&gt;=E$2),IF('Phân công'!$L11="Xong","✓","■"),"")</f>
        <v/>
      </c>
      <c r="F12" s="13" t="str">
        <f>IF(AND('Phân công'!$C11&lt;=F$2+6,'Phân công'!$D11&gt;=F$2),IF('Phân công'!$L11="Xong","✓","■"),"")</f>
        <v>■</v>
      </c>
      <c r="G12" s="13" t="str">
        <f>IF(AND('Phân công'!$C11&lt;=G$2+6,'Phân công'!$D11&gt;=G$2),IF('Phân công'!$L11="Xong","✓","■"),"")</f>
        <v>■</v>
      </c>
      <c r="H12" s="13" t="str">
        <f>IF(AND('Phân công'!$C11&lt;=H$2+6,'Phân công'!$D11&gt;=H$2),IF('Phân công'!$L11="Xong","✓","■"),"")</f>
        <v/>
      </c>
      <c r="I12" s="13" t="str">
        <f>IF(AND('Phân công'!$C11&lt;=I$2+6,'Phân công'!$D11&gt;=I$2),IF('Phân công'!$L11="Xong","✓","■"),"")</f>
        <v/>
      </c>
      <c r="J12" s="13" t="str">
        <f>IF(AND('Phân công'!$C11&lt;=J$2+6,'Phân công'!$D11&gt;=J$2),IF('Phân công'!$L11="Xong","✓","■"),"")</f>
        <v/>
      </c>
      <c r="K12" s="13" t="str">
        <f>IF(AND('Phân công'!$C11&lt;=K$2+6,'Phân công'!$D11&gt;=K$2),IF('Phân công'!$L11="Xong","✓","■"),"")</f>
        <v/>
      </c>
      <c r="L12" s="13" t="str">
        <f>IF(AND('Phân công'!$C11&lt;=L$2+6,'Phân công'!$D11&gt;=L$2),IF('Phân công'!$L11="Xong","✓","■"),"")</f>
        <v/>
      </c>
      <c r="M12" s="13" t="str">
        <f>IF(AND('Phân công'!$C11&lt;=M$2+6,'Phân công'!$D11&gt;=M$2),IF('Phân công'!$L11="Xong","✓","■"),"")</f>
        <v/>
      </c>
      <c r="N12" s="13" t="str">
        <f>IF(AND('Phân công'!$C11&lt;=N$2+6,'Phân công'!$D11&gt;=N$2),IF('Phân công'!$L11="Xong","✓","■"),"")</f>
        <v/>
      </c>
      <c r="O12" s="13" t="str">
        <f>IF(AND('Phân công'!$C11&lt;=O$2+6,'Phân công'!$D11&gt;=O$2),IF('Phân công'!$L11="Xong","✓","■"),"")</f>
        <v/>
      </c>
      <c r="P12" s="13" t="str">
        <f>IF(AND('Phân công'!$C11&lt;=P$2+6,'Phân công'!$D11&gt;=P$2),IF('Phân công'!$L11="Xong","✓","■"),"")</f>
        <v/>
      </c>
      <c r="Q12" s="13" t="str">
        <f>IF(AND('Phân công'!$C11&lt;=Q$2+6,'Phân công'!$D11&gt;=Q$2),IF('Phân công'!$L11="Xong","✓","■"),"")</f>
        <v/>
      </c>
    </row>
    <row r="13" spans="1:17" x14ac:dyDescent="0.35">
      <c r="A13" s="11" t="str">
        <f>'Phân công'!A12</f>
        <v>T11</v>
      </c>
      <c r="B13" s="12" t="str">
        <f>'Phân công'!F12</f>
        <v>Template + Cypher gold loại temporal; kiểm tra chéo 20% câu của Ân</v>
      </c>
      <c r="C13" s="11" t="str">
        <f>'Phân công'!G12</f>
        <v>Khôi</v>
      </c>
      <c r="D13" s="13" t="str">
        <f>IF(AND('Phân công'!$C12&lt;=D$2+6,'Phân công'!$D12&gt;=D$2),IF('Phân công'!$L12="Xong","✓","■"),"")</f>
        <v/>
      </c>
      <c r="E13" s="13" t="str">
        <f>IF(AND('Phân công'!$C12&lt;=E$2+6,'Phân công'!$D12&gt;=E$2),IF('Phân công'!$L12="Xong","✓","■"),"")</f>
        <v/>
      </c>
      <c r="F13" s="13" t="str">
        <f>IF(AND('Phân công'!$C12&lt;=F$2+6,'Phân công'!$D12&gt;=F$2),IF('Phân công'!$L12="Xong","✓","■"),"")</f>
        <v>■</v>
      </c>
      <c r="G13" s="13" t="str">
        <f>IF(AND('Phân công'!$C12&lt;=G$2+6,'Phân công'!$D12&gt;=G$2),IF('Phân công'!$L12="Xong","✓","■"),"")</f>
        <v>■</v>
      </c>
      <c r="H13" s="13" t="str">
        <f>IF(AND('Phân công'!$C12&lt;=H$2+6,'Phân công'!$D12&gt;=H$2),IF('Phân công'!$L12="Xong","✓","■"),"")</f>
        <v/>
      </c>
      <c r="I13" s="13" t="str">
        <f>IF(AND('Phân công'!$C12&lt;=I$2+6,'Phân công'!$D12&gt;=I$2),IF('Phân công'!$L12="Xong","✓","■"),"")</f>
        <v/>
      </c>
      <c r="J13" s="13" t="str">
        <f>IF(AND('Phân công'!$C12&lt;=J$2+6,'Phân công'!$D12&gt;=J$2),IF('Phân công'!$L12="Xong","✓","■"),"")</f>
        <v/>
      </c>
      <c r="K13" s="13" t="str">
        <f>IF(AND('Phân công'!$C12&lt;=K$2+6,'Phân công'!$D12&gt;=K$2),IF('Phân công'!$L12="Xong","✓","■"),"")</f>
        <v/>
      </c>
      <c r="L13" s="13" t="str">
        <f>IF(AND('Phân công'!$C12&lt;=L$2+6,'Phân công'!$D12&gt;=L$2),IF('Phân công'!$L12="Xong","✓","■"),"")</f>
        <v/>
      </c>
      <c r="M13" s="13" t="str">
        <f>IF(AND('Phân công'!$C12&lt;=M$2+6,'Phân công'!$D12&gt;=M$2),IF('Phân công'!$L12="Xong","✓","■"),"")</f>
        <v/>
      </c>
      <c r="N13" s="13" t="str">
        <f>IF(AND('Phân công'!$C12&lt;=N$2+6,'Phân công'!$D12&gt;=N$2),IF('Phân công'!$L12="Xong","✓","■"),"")</f>
        <v/>
      </c>
      <c r="O13" s="13" t="str">
        <f>IF(AND('Phân công'!$C12&lt;=O$2+6,'Phân công'!$D12&gt;=O$2),IF('Phân công'!$L12="Xong","✓","■"),"")</f>
        <v/>
      </c>
      <c r="P13" s="13" t="str">
        <f>IF(AND('Phân công'!$C12&lt;=P$2+6,'Phân công'!$D12&gt;=P$2),IF('Phân công'!$L12="Xong","✓","■"),"")</f>
        <v/>
      </c>
      <c r="Q13" s="13" t="str">
        <f>IF(AND('Phân công'!$C12&lt;=Q$2+6,'Phân công'!$D12&gt;=Q$2),IF('Phân công'!$L12="Xong","✓","■"),"")</f>
        <v/>
      </c>
    </row>
    <row r="14" spans="1:17" x14ac:dyDescent="0.35">
      <c r="A14" s="11" t="str">
        <f>'Phân công'!A13</f>
        <v>T12</v>
      </c>
      <c r="B14" s="12" t="str">
        <f>'Phân công'!F13</f>
        <v>Viết 2–3 cách diễn đạt tự nhiên cho mọi template; rà soát câu hỏi không lộ tên nhãn/thuộc tính kỹ thuật</v>
      </c>
      <c r="C14" s="11" t="str">
        <f>'Phân công'!G13</f>
        <v>Hương</v>
      </c>
      <c r="D14" s="13" t="str">
        <f>IF(AND('Phân công'!$C13&lt;=D$2+6,'Phân công'!$D13&gt;=D$2),IF('Phân công'!$L13="Xong","✓","■"),"")</f>
        <v/>
      </c>
      <c r="E14" s="13" t="str">
        <f>IF(AND('Phân công'!$C13&lt;=E$2+6,'Phân công'!$D13&gt;=E$2),IF('Phân công'!$L13="Xong","✓","■"),"")</f>
        <v/>
      </c>
      <c r="F14" s="13" t="str">
        <f>IF(AND('Phân công'!$C13&lt;=F$2+6,'Phân công'!$D13&gt;=F$2),IF('Phân công'!$L13="Xong","✓","■"),"")</f>
        <v>■</v>
      </c>
      <c r="G14" s="13" t="str">
        <f>IF(AND('Phân công'!$C13&lt;=G$2+6,'Phân công'!$D13&gt;=G$2),IF('Phân công'!$L13="Xong","✓","■"),"")</f>
        <v>■</v>
      </c>
      <c r="H14" s="13" t="str">
        <f>IF(AND('Phân công'!$C13&lt;=H$2+6,'Phân công'!$D13&gt;=H$2),IF('Phân công'!$L13="Xong","✓","■"),"")</f>
        <v/>
      </c>
      <c r="I14" s="13" t="str">
        <f>IF(AND('Phân công'!$C13&lt;=I$2+6,'Phân công'!$D13&gt;=I$2),IF('Phân công'!$L13="Xong","✓","■"),"")</f>
        <v/>
      </c>
      <c r="J14" s="13" t="str">
        <f>IF(AND('Phân công'!$C13&lt;=J$2+6,'Phân công'!$D13&gt;=J$2),IF('Phân công'!$L13="Xong","✓","■"),"")</f>
        <v/>
      </c>
      <c r="K14" s="13" t="str">
        <f>IF(AND('Phân công'!$C13&lt;=K$2+6,'Phân công'!$D13&gt;=K$2),IF('Phân công'!$L13="Xong","✓","■"),"")</f>
        <v/>
      </c>
      <c r="L14" s="13" t="str">
        <f>IF(AND('Phân công'!$C13&lt;=L$2+6,'Phân công'!$D13&gt;=L$2),IF('Phân công'!$L13="Xong","✓","■"),"")</f>
        <v/>
      </c>
      <c r="M14" s="13" t="str">
        <f>IF(AND('Phân công'!$C13&lt;=M$2+6,'Phân công'!$D13&gt;=M$2),IF('Phân công'!$L13="Xong","✓","■"),"")</f>
        <v/>
      </c>
      <c r="N14" s="13" t="str">
        <f>IF(AND('Phân công'!$C13&lt;=N$2+6,'Phân công'!$D13&gt;=N$2),IF('Phân công'!$L13="Xong","✓","■"),"")</f>
        <v/>
      </c>
      <c r="O14" s="13" t="str">
        <f>IF(AND('Phân công'!$C13&lt;=O$2+6,'Phân công'!$D13&gt;=O$2),IF('Phân công'!$L13="Xong","✓","■"),"")</f>
        <v/>
      </c>
      <c r="P14" s="13" t="str">
        <f>IF(AND('Phân công'!$C13&lt;=P$2+6,'Phân công'!$D13&gt;=P$2),IF('Phân công'!$L13="Xong","✓","■"),"")</f>
        <v/>
      </c>
      <c r="Q14" s="13" t="str">
        <f>IF(AND('Phân công'!$C13&lt;=Q$2+6,'Phân công'!$D13&gt;=Q$2),IF('Phân công'!$L13="Xong","✓","■"),"")</f>
        <v/>
      </c>
    </row>
    <row r="15" spans="1:17" x14ac:dyDescent="0.35">
      <c r="A15" s="11" t="str">
        <f>'Phân công'!A14</f>
        <v>T13</v>
      </c>
      <c r="B15" s="12" t="str">
        <f>'Phân công'!F14</f>
        <v>Script sinh câu (seed cố định), lọc tự động, chia dev/test theo template, đóng băng test (SHA-256)</v>
      </c>
      <c r="C15" s="11" t="str">
        <f>'Phân công'!G14</f>
        <v>Bảo</v>
      </c>
      <c r="D15" s="13" t="str">
        <f>IF(AND('Phân công'!$C14&lt;=D$2+6,'Phân công'!$D14&gt;=D$2),IF('Phân công'!$L14="Xong","✓","■"),"")</f>
        <v/>
      </c>
      <c r="E15" s="13" t="str">
        <f>IF(AND('Phân công'!$C14&lt;=E$2+6,'Phân công'!$D14&gt;=E$2),IF('Phân công'!$L14="Xong","✓","■"),"")</f>
        <v/>
      </c>
      <c r="F15" s="13" t="str">
        <f>IF(AND('Phân công'!$C14&lt;=F$2+6,'Phân công'!$D14&gt;=F$2),IF('Phân công'!$L14="Xong","✓","■"),"")</f>
        <v/>
      </c>
      <c r="G15" s="13" t="str">
        <f>IF(AND('Phân công'!$C14&lt;=G$2+6,'Phân công'!$D14&gt;=G$2),IF('Phân công'!$L14="Xong","✓","■"),"")</f>
        <v>■</v>
      </c>
      <c r="H15" s="13" t="str">
        <f>IF(AND('Phân công'!$C14&lt;=H$2+6,'Phân công'!$D14&gt;=H$2),IF('Phân công'!$L14="Xong","✓","■"),"")</f>
        <v/>
      </c>
      <c r="I15" s="13" t="str">
        <f>IF(AND('Phân công'!$C14&lt;=I$2+6,'Phân công'!$D14&gt;=I$2),IF('Phân công'!$L14="Xong","✓","■"),"")</f>
        <v/>
      </c>
      <c r="J15" s="13" t="str">
        <f>IF(AND('Phân công'!$C14&lt;=J$2+6,'Phân công'!$D14&gt;=J$2),IF('Phân công'!$L14="Xong","✓","■"),"")</f>
        <v/>
      </c>
      <c r="K15" s="13" t="str">
        <f>IF(AND('Phân công'!$C14&lt;=K$2+6,'Phân công'!$D14&gt;=K$2),IF('Phân công'!$L14="Xong","✓","■"),"")</f>
        <v/>
      </c>
      <c r="L15" s="13" t="str">
        <f>IF(AND('Phân công'!$C14&lt;=L$2+6,'Phân công'!$D14&gt;=L$2),IF('Phân công'!$L14="Xong","✓","■"),"")</f>
        <v/>
      </c>
      <c r="M15" s="13" t="str">
        <f>IF(AND('Phân công'!$C14&lt;=M$2+6,'Phân công'!$D14&gt;=M$2),IF('Phân công'!$L14="Xong","✓","■"),"")</f>
        <v/>
      </c>
      <c r="N15" s="13" t="str">
        <f>IF(AND('Phân công'!$C14&lt;=N$2+6,'Phân công'!$D14&gt;=N$2),IF('Phân công'!$L14="Xong","✓","■"),"")</f>
        <v/>
      </c>
      <c r="O15" s="13" t="str">
        <f>IF(AND('Phân công'!$C14&lt;=O$2+6,'Phân công'!$D14&gt;=O$2),IF('Phân công'!$L14="Xong","✓","■"),"")</f>
        <v/>
      </c>
      <c r="P15" s="13" t="str">
        <f>IF(AND('Phân công'!$C14&lt;=P$2+6,'Phân công'!$D14&gt;=P$2),IF('Phân công'!$L14="Xong","✓","■"),"")</f>
        <v/>
      </c>
      <c r="Q15" s="13" t="str">
        <f>IF(AND('Phân công'!$C14&lt;=Q$2+6,'Phân công'!$D14&gt;=Q$2),IF('Phân công'!$L14="Xong","✓","■"),"")</f>
        <v/>
      </c>
    </row>
    <row r="16" spans="1:17" x14ac:dyDescent="0.35">
      <c r="A16" s="11" t="str">
        <f>'Phân công'!A15</f>
        <v>T14</v>
      </c>
      <c r="B16" s="12" t="str">
        <f>'Phân công'!F15</f>
        <v>Tổng hợp kết quả kiểm tra chéo, tính tỉ lệ đồng thuận theo loại, theo dõi câu cần sửa/loại</v>
      </c>
      <c r="C16" s="11" t="str">
        <f>'Phân công'!G15</f>
        <v>Hương</v>
      </c>
      <c r="D16" s="13" t="str">
        <f>IF(AND('Phân công'!$C15&lt;=D$2+6,'Phân công'!$D15&gt;=D$2),IF('Phân công'!$L15="Xong","✓","■"),"")</f>
        <v/>
      </c>
      <c r="E16" s="13" t="str">
        <f>IF(AND('Phân công'!$C15&lt;=E$2+6,'Phân công'!$D15&gt;=E$2),IF('Phân công'!$L15="Xong","✓","■"),"")</f>
        <v/>
      </c>
      <c r="F16" s="13" t="str">
        <f>IF(AND('Phân công'!$C15&lt;=F$2+6,'Phân công'!$D15&gt;=F$2),IF('Phân công'!$L15="Xong","✓","■"),"")</f>
        <v/>
      </c>
      <c r="G16" s="13" t="str">
        <f>IF(AND('Phân công'!$C15&lt;=G$2+6,'Phân công'!$D15&gt;=G$2),IF('Phân công'!$L15="Xong","✓","■"),"")</f>
        <v>■</v>
      </c>
      <c r="H16" s="13" t="str">
        <f>IF(AND('Phân công'!$C15&lt;=H$2+6,'Phân công'!$D15&gt;=H$2),IF('Phân công'!$L15="Xong","✓","■"),"")</f>
        <v/>
      </c>
      <c r="I16" s="13" t="str">
        <f>IF(AND('Phân công'!$C15&lt;=I$2+6,'Phân công'!$D15&gt;=I$2),IF('Phân công'!$L15="Xong","✓","■"),"")</f>
        <v/>
      </c>
      <c r="J16" s="13" t="str">
        <f>IF(AND('Phân công'!$C15&lt;=J$2+6,'Phân công'!$D15&gt;=J$2),IF('Phân công'!$L15="Xong","✓","■"),"")</f>
        <v/>
      </c>
      <c r="K16" s="13" t="str">
        <f>IF(AND('Phân công'!$C15&lt;=K$2+6,'Phân công'!$D15&gt;=K$2),IF('Phân công'!$L15="Xong","✓","■"),"")</f>
        <v/>
      </c>
      <c r="L16" s="13" t="str">
        <f>IF(AND('Phân công'!$C15&lt;=L$2+6,'Phân công'!$D15&gt;=L$2),IF('Phân công'!$L15="Xong","✓","■"),"")</f>
        <v/>
      </c>
      <c r="M16" s="13" t="str">
        <f>IF(AND('Phân công'!$C15&lt;=M$2+6,'Phân công'!$D15&gt;=M$2),IF('Phân công'!$L15="Xong","✓","■"),"")</f>
        <v/>
      </c>
      <c r="N16" s="13" t="str">
        <f>IF(AND('Phân công'!$C15&lt;=N$2+6,'Phân công'!$D15&gt;=N$2),IF('Phân công'!$L15="Xong","✓","■"),"")</f>
        <v/>
      </c>
      <c r="O16" s="13" t="str">
        <f>IF(AND('Phân công'!$C15&lt;=O$2+6,'Phân công'!$D15&gt;=O$2),IF('Phân công'!$L15="Xong","✓","■"),"")</f>
        <v/>
      </c>
      <c r="P16" s="13" t="str">
        <f>IF(AND('Phân công'!$C15&lt;=P$2+6,'Phân công'!$D15&gt;=P$2),IF('Phân công'!$L15="Xong","✓","■"),"")</f>
        <v/>
      </c>
      <c r="Q16" s="13" t="str">
        <f>IF(AND('Phân công'!$C15&lt;=Q$2+6,'Phân công'!$D15&gt;=Q$2),IF('Phân công'!$L15="Xong","✓","■"),"")</f>
        <v/>
      </c>
    </row>
    <row r="17" spans="1:17" x14ac:dyDescent="0.35">
      <c r="A17" s="11" t="str">
        <f>'Phân công'!A16</f>
        <v>T15</v>
      </c>
      <c r="B17" s="12" t="str">
        <f>'Phân công'!F16</f>
        <v>Tạo key Groq, chốt ID model; thêm backend Groq + timeout vào pipeline đánh giá; chạy B1</v>
      </c>
      <c r="C17" s="11" t="str">
        <f>'Phân công'!G16</f>
        <v>Bảo</v>
      </c>
      <c r="D17" s="13" t="str">
        <f>IF(AND('Phân công'!$C16&lt;=D$2+6,'Phân công'!$D16&gt;=D$2),IF('Phân công'!$L16="Xong","✓","■"),"")</f>
        <v/>
      </c>
      <c r="E17" s="13" t="str">
        <f>IF(AND('Phân công'!$C16&lt;=E$2+6,'Phân công'!$D16&gt;=E$2),IF('Phân công'!$L16="Xong","✓","■"),"")</f>
        <v/>
      </c>
      <c r="F17" s="13" t="str">
        <f>IF(AND('Phân công'!$C16&lt;=F$2+6,'Phân công'!$D16&gt;=F$2),IF('Phân công'!$L16="Xong","✓","■"),"")</f>
        <v/>
      </c>
      <c r="G17" s="13" t="str">
        <f>IF(AND('Phân công'!$C16&lt;=G$2+6,'Phân công'!$D16&gt;=G$2),IF('Phân công'!$L16="Xong","✓","■"),"")</f>
        <v/>
      </c>
      <c r="H17" s="13" t="str">
        <f>IF(AND('Phân công'!$C16&lt;=H$2+6,'Phân công'!$D16&gt;=H$2),IF('Phân công'!$L16="Xong","✓","■"),"")</f>
        <v>■</v>
      </c>
      <c r="I17" s="13" t="str">
        <f>IF(AND('Phân công'!$C16&lt;=I$2+6,'Phân công'!$D16&gt;=I$2),IF('Phân công'!$L16="Xong","✓","■"),"")</f>
        <v/>
      </c>
      <c r="J17" s="13" t="str">
        <f>IF(AND('Phân công'!$C16&lt;=J$2+6,'Phân công'!$D16&gt;=J$2),IF('Phân công'!$L16="Xong","✓","■"),"")</f>
        <v/>
      </c>
      <c r="K17" s="13" t="str">
        <f>IF(AND('Phân công'!$C16&lt;=K$2+6,'Phân công'!$D16&gt;=K$2),IF('Phân công'!$L16="Xong","✓","■"),"")</f>
        <v/>
      </c>
      <c r="L17" s="13" t="str">
        <f>IF(AND('Phân công'!$C16&lt;=L$2+6,'Phân công'!$D16&gt;=L$2),IF('Phân công'!$L16="Xong","✓","■"),"")</f>
        <v/>
      </c>
      <c r="M17" s="13" t="str">
        <f>IF(AND('Phân công'!$C16&lt;=M$2+6,'Phân công'!$D16&gt;=M$2),IF('Phân công'!$L16="Xong","✓","■"),"")</f>
        <v/>
      </c>
      <c r="N17" s="13" t="str">
        <f>IF(AND('Phân công'!$C16&lt;=N$2+6,'Phân công'!$D16&gt;=N$2),IF('Phân công'!$L16="Xong","✓","■"),"")</f>
        <v/>
      </c>
      <c r="O17" s="13" t="str">
        <f>IF(AND('Phân công'!$C16&lt;=O$2+6,'Phân công'!$D16&gt;=O$2),IF('Phân công'!$L16="Xong","✓","■"),"")</f>
        <v/>
      </c>
      <c r="P17" s="13" t="str">
        <f>IF(AND('Phân công'!$C16&lt;=P$2+6,'Phân công'!$D16&gt;=P$2),IF('Phân công'!$L16="Xong","✓","■"),"")</f>
        <v/>
      </c>
      <c r="Q17" s="13" t="str">
        <f>IF(AND('Phân công'!$C16&lt;=Q$2+6,'Phân công'!$D16&gt;=Q$2),IF('Phân công'!$L16="Xong","✓","■"),"")</f>
        <v/>
      </c>
    </row>
    <row r="18" spans="1:17" x14ac:dyDescent="0.35">
      <c r="A18" s="11" t="str">
        <f>'Phân công'!A17</f>
        <v>T16</v>
      </c>
      <c r="B18" s="12" t="str">
        <f>'Phân công'!F17</f>
        <v>B0 rule-based (luật chỉ viết dựa trên tập dev)</v>
      </c>
      <c r="C18" s="11" t="str">
        <f>'Phân công'!G17</f>
        <v>Vũ</v>
      </c>
      <c r="D18" s="13" t="str">
        <f>IF(AND('Phân công'!$C17&lt;=D$2+6,'Phân công'!$D17&gt;=D$2),IF('Phân công'!$L17="Xong","✓","■"),"")</f>
        <v/>
      </c>
      <c r="E18" s="13" t="str">
        <f>IF(AND('Phân công'!$C17&lt;=E$2+6,'Phân công'!$D17&gt;=E$2),IF('Phân công'!$L17="Xong","✓","■"),"")</f>
        <v/>
      </c>
      <c r="F18" s="13" t="str">
        <f>IF(AND('Phân công'!$C17&lt;=F$2+6,'Phân công'!$D17&gt;=F$2),IF('Phân công'!$L17="Xong","✓","■"),"")</f>
        <v/>
      </c>
      <c r="G18" s="13" t="str">
        <f>IF(AND('Phân công'!$C17&lt;=G$2+6,'Phân công'!$D17&gt;=G$2),IF('Phân công'!$L17="Xong","✓","■"),"")</f>
        <v/>
      </c>
      <c r="H18" s="13" t="str">
        <f>IF(AND('Phân công'!$C17&lt;=H$2+6,'Phân công'!$D17&gt;=H$2),IF('Phân công'!$L17="Xong","✓","■"),"")</f>
        <v>■</v>
      </c>
      <c r="I18" s="13" t="str">
        <f>IF(AND('Phân công'!$C17&lt;=I$2+6,'Phân công'!$D17&gt;=I$2),IF('Phân công'!$L17="Xong","✓","■"),"")</f>
        <v/>
      </c>
      <c r="J18" s="13" t="str">
        <f>IF(AND('Phân công'!$C17&lt;=J$2+6,'Phân công'!$D17&gt;=J$2),IF('Phân công'!$L17="Xong","✓","■"),"")</f>
        <v/>
      </c>
      <c r="K18" s="13" t="str">
        <f>IF(AND('Phân công'!$C17&lt;=K$2+6,'Phân công'!$D17&gt;=K$2),IF('Phân công'!$L17="Xong","✓","■"),"")</f>
        <v/>
      </c>
      <c r="L18" s="13" t="str">
        <f>IF(AND('Phân công'!$C17&lt;=L$2+6,'Phân công'!$D17&gt;=L$2),IF('Phân công'!$L17="Xong","✓","■"),"")</f>
        <v/>
      </c>
      <c r="M18" s="13" t="str">
        <f>IF(AND('Phân công'!$C17&lt;=M$2+6,'Phân công'!$D17&gt;=M$2),IF('Phân công'!$L17="Xong","✓","■"),"")</f>
        <v/>
      </c>
      <c r="N18" s="13" t="str">
        <f>IF(AND('Phân công'!$C17&lt;=N$2+6,'Phân công'!$D17&gt;=N$2),IF('Phân công'!$L17="Xong","✓","■"),"")</f>
        <v/>
      </c>
      <c r="O18" s="13" t="str">
        <f>IF(AND('Phân công'!$C17&lt;=O$2+6,'Phân công'!$D17&gt;=O$2),IF('Phân công'!$L17="Xong","✓","■"),"")</f>
        <v/>
      </c>
      <c r="P18" s="13" t="str">
        <f>IF(AND('Phân công'!$C17&lt;=P$2+6,'Phân công'!$D17&gt;=P$2),IF('Phân công'!$L17="Xong","✓","■"),"")</f>
        <v/>
      </c>
      <c r="Q18" s="13" t="str">
        <f>IF(AND('Phân công'!$C17&lt;=Q$2+6,'Phân công'!$D17&gt;=Q$2),IF('Phân công'!$L17="Xong","✓","■"),"")</f>
        <v/>
      </c>
    </row>
    <row r="19" spans="1:17" x14ac:dyDescent="0.35">
      <c r="A19" s="11" t="str">
        <f>'Phân công'!A18</f>
        <v>T17</v>
      </c>
      <c r="B19" s="12" t="str">
        <f>'Phân công'!F18</f>
        <v>B2 GraphCypherQAChain (langchain-neo4j), cùng model với B1</v>
      </c>
      <c r="C19" s="11" t="str">
        <f>'Phân công'!G18</f>
        <v>Vũ</v>
      </c>
      <c r="D19" s="13" t="str">
        <f>IF(AND('Phân công'!$C18&lt;=D$2+6,'Phân công'!$D18&gt;=D$2),IF('Phân công'!$L18="Xong","✓","■"),"")</f>
        <v/>
      </c>
      <c r="E19" s="13" t="str">
        <f>IF(AND('Phân công'!$C18&lt;=E$2+6,'Phân công'!$D18&gt;=E$2),IF('Phân công'!$L18="Xong","✓","■"),"")</f>
        <v/>
      </c>
      <c r="F19" s="13" t="str">
        <f>IF(AND('Phân công'!$C18&lt;=F$2+6,'Phân công'!$D18&gt;=F$2),IF('Phân công'!$L18="Xong","✓","■"),"")</f>
        <v/>
      </c>
      <c r="G19" s="13" t="str">
        <f>IF(AND('Phân công'!$C18&lt;=G$2+6,'Phân công'!$D18&gt;=G$2),IF('Phân công'!$L18="Xong","✓","■"),"")</f>
        <v/>
      </c>
      <c r="H19" s="13" t="str">
        <f>IF(AND('Phân công'!$C18&lt;=H$2+6,'Phân công'!$D18&gt;=H$2),IF('Phân công'!$L18="Xong","✓","■"),"")</f>
        <v>■</v>
      </c>
      <c r="I19" s="13" t="str">
        <f>IF(AND('Phân công'!$C18&lt;=I$2+6,'Phân công'!$D18&gt;=I$2),IF('Phân công'!$L18="Xong","✓","■"),"")</f>
        <v/>
      </c>
      <c r="J19" s="13" t="str">
        <f>IF(AND('Phân công'!$C18&lt;=J$2+6,'Phân công'!$D18&gt;=J$2),IF('Phân công'!$L18="Xong","✓","■"),"")</f>
        <v/>
      </c>
      <c r="K19" s="13" t="str">
        <f>IF(AND('Phân công'!$C18&lt;=K$2+6,'Phân công'!$D18&gt;=K$2),IF('Phân công'!$L18="Xong","✓","■"),"")</f>
        <v/>
      </c>
      <c r="L19" s="13" t="str">
        <f>IF(AND('Phân công'!$C18&lt;=L$2+6,'Phân công'!$D18&gt;=L$2),IF('Phân công'!$L18="Xong","✓","■"),"")</f>
        <v/>
      </c>
      <c r="M19" s="13" t="str">
        <f>IF(AND('Phân công'!$C18&lt;=M$2+6,'Phân công'!$D18&gt;=M$2),IF('Phân công'!$L18="Xong","✓","■"),"")</f>
        <v/>
      </c>
      <c r="N19" s="13" t="str">
        <f>IF(AND('Phân công'!$C18&lt;=N$2+6,'Phân công'!$D18&gt;=N$2),IF('Phân công'!$L18="Xong","✓","■"),"")</f>
        <v/>
      </c>
      <c r="O19" s="13" t="str">
        <f>IF(AND('Phân công'!$C18&lt;=O$2+6,'Phân công'!$D18&gt;=O$2),IF('Phân công'!$L18="Xong","✓","■"),"")</f>
        <v/>
      </c>
      <c r="P19" s="13" t="str">
        <f>IF(AND('Phân công'!$C18&lt;=P$2+6,'Phân công'!$D18&gt;=P$2),IF('Phân công'!$L18="Xong","✓","■"),"")</f>
        <v/>
      </c>
      <c r="Q19" s="13" t="str">
        <f>IF(AND('Phân công'!$C18&lt;=Q$2+6,'Phân công'!$D18&gt;=Q$2),IF('Phân công'!$L18="Xong","✓","■"),"")</f>
        <v/>
      </c>
    </row>
    <row r="20" spans="1:17" x14ac:dyDescent="0.35">
      <c r="A20" s="11" t="str">
        <f>'Phân công'!A19</f>
        <v>T18</v>
      </c>
      <c r="B20" s="12" t="str">
        <f>'Phân công'!F19</f>
        <v>Kiểm thử bộ chấm điểm (hàm judge) và bộ kiểm tra Cypher gold bằng các ca biên</v>
      </c>
      <c r="C20" s="11" t="str">
        <f>'Phân công'!G19</f>
        <v>Ân</v>
      </c>
      <c r="D20" s="13" t="str">
        <f>IF(AND('Phân công'!$C19&lt;=D$2+6,'Phân công'!$D19&gt;=D$2),IF('Phân công'!$L19="Xong","✓","■"),"")</f>
        <v/>
      </c>
      <c r="E20" s="13" t="str">
        <f>IF(AND('Phân công'!$C19&lt;=E$2+6,'Phân công'!$D19&gt;=E$2),IF('Phân công'!$L19="Xong","✓","■"),"")</f>
        <v/>
      </c>
      <c r="F20" s="13" t="str">
        <f>IF(AND('Phân công'!$C19&lt;=F$2+6,'Phân công'!$D19&gt;=F$2),IF('Phân công'!$L19="Xong","✓","■"),"")</f>
        <v/>
      </c>
      <c r="G20" s="13" t="str">
        <f>IF(AND('Phân công'!$C19&lt;=G$2+6,'Phân công'!$D19&gt;=G$2),IF('Phân công'!$L19="Xong","✓","■"),"")</f>
        <v/>
      </c>
      <c r="H20" s="13" t="str">
        <f>IF(AND('Phân công'!$C19&lt;=H$2+6,'Phân công'!$D19&gt;=H$2),IF('Phân công'!$L19="Xong","✓","■"),"")</f>
        <v>■</v>
      </c>
      <c r="I20" s="13" t="str">
        <f>IF(AND('Phân công'!$C19&lt;=I$2+6,'Phân công'!$D19&gt;=I$2),IF('Phân công'!$L19="Xong","✓","■"),"")</f>
        <v/>
      </c>
      <c r="J20" s="13" t="str">
        <f>IF(AND('Phân công'!$C19&lt;=J$2+6,'Phân công'!$D19&gt;=J$2),IF('Phân công'!$L19="Xong","✓","■"),"")</f>
        <v/>
      </c>
      <c r="K20" s="13" t="str">
        <f>IF(AND('Phân công'!$C19&lt;=K$2+6,'Phân công'!$D19&gt;=K$2),IF('Phân công'!$L19="Xong","✓","■"),"")</f>
        <v/>
      </c>
      <c r="L20" s="13" t="str">
        <f>IF(AND('Phân công'!$C19&lt;=L$2+6,'Phân công'!$D19&gt;=L$2),IF('Phân công'!$L19="Xong","✓","■"),"")</f>
        <v/>
      </c>
      <c r="M20" s="13" t="str">
        <f>IF(AND('Phân công'!$C19&lt;=M$2+6,'Phân công'!$D19&gt;=M$2),IF('Phân công'!$L19="Xong","✓","■"),"")</f>
        <v/>
      </c>
      <c r="N20" s="13" t="str">
        <f>IF(AND('Phân công'!$C19&lt;=N$2+6,'Phân công'!$D19&gt;=N$2),IF('Phân công'!$L19="Xong","✓","■"),"")</f>
        <v/>
      </c>
      <c r="O20" s="13" t="str">
        <f>IF(AND('Phân công'!$C19&lt;=O$2+6,'Phân công'!$D19&gt;=O$2),IF('Phân công'!$L19="Xong","✓","■"),"")</f>
        <v/>
      </c>
      <c r="P20" s="13" t="str">
        <f>IF(AND('Phân công'!$C19&lt;=P$2+6,'Phân công'!$D19&gt;=P$2),IF('Phân công'!$L19="Xong","✓","■"),"")</f>
        <v/>
      </c>
      <c r="Q20" s="13" t="str">
        <f>IF(AND('Phân công'!$C19&lt;=Q$2+6,'Phân công'!$D19&gt;=Q$2),IF('Phân công'!$L19="Xong","✓","■"),"")</f>
        <v/>
      </c>
    </row>
    <row r="21" spans="1:17" x14ac:dyDescent="0.35">
      <c r="A21" s="11" t="str">
        <f>'Phân công'!A20</f>
        <v>T19</v>
      </c>
      <c r="B21" s="12" t="str">
        <f>'Phân công'!F20</f>
        <v>Cập nhật số câu dev/test thật vào Appendix 3 của proposal</v>
      </c>
      <c r="C21" s="11" t="str">
        <f>'Phân công'!G20</f>
        <v>Hương</v>
      </c>
      <c r="D21" s="13" t="str">
        <f>IF(AND('Phân công'!$C20&lt;=D$2+6,'Phân công'!$D20&gt;=D$2),IF('Phân công'!$L20="Xong","✓","■"),"")</f>
        <v/>
      </c>
      <c r="E21" s="13" t="str">
        <f>IF(AND('Phân công'!$C20&lt;=E$2+6,'Phân công'!$D20&gt;=E$2),IF('Phân công'!$L20="Xong","✓","■"),"")</f>
        <v/>
      </c>
      <c r="F21" s="13" t="str">
        <f>IF(AND('Phân công'!$C20&lt;=F$2+6,'Phân công'!$D20&gt;=F$2),IF('Phân công'!$L20="Xong","✓","■"),"")</f>
        <v/>
      </c>
      <c r="G21" s="13" t="str">
        <f>IF(AND('Phân công'!$C20&lt;=G$2+6,'Phân công'!$D20&gt;=G$2),IF('Phân công'!$L20="Xong","✓","■"),"")</f>
        <v/>
      </c>
      <c r="H21" s="13" t="str">
        <f>IF(AND('Phân công'!$C20&lt;=H$2+6,'Phân công'!$D20&gt;=H$2),IF('Phân công'!$L20="Xong","✓","■"),"")</f>
        <v>■</v>
      </c>
      <c r="I21" s="13" t="str">
        <f>IF(AND('Phân công'!$C20&lt;=I$2+6,'Phân công'!$D20&gt;=I$2),IF('Phân công'!$L20="Xong","✓","■"),"")</f>
        <v/>
      </c>
      <c r="J21" s="13" t="str">
        <f>IF(AND('Phân công'!$C20&lt;=J$2+6,'Phân công'!$D20&gt;=J$2),IF('Phân công'!$L20="Xong","✓","■"),"")</f>
        <v/>
      </c>
      <c r="K21" s="13" t="str">
        <f>IF(AND('Phân công'!$C20&lt;=K$2+6,'Phân công'!$D20&gt;=K$2),IF('Phân công'!$L20="Xong","✓","■"),"")</f>
        <v/>
      </c>
      <c r="L21" s="13" t="str">
        <f>IF(AND('Phân công'!$C20&lt;=L$2+6,'Phân công'!$D20&gt;=L$2),IF('Phân công'!$L20="Xong","✓","■"),"")</f>
        <v/>
      </c>
      <c r="M21" s="13" t="str">
        <f>IF(AND('Phân công'!$C20&lt;=M$2+6,'Phân công'!$D20&gt;=M$2),IF('Phân công'!$L20="Xong","✓","■"),"")</f>
        <v/>
      </c>
      <c r="N21" s="13" t="str">
        <f>IF(AND('Phân công'!$C20&lt;=N$2+6,'Phân công'!$D20&gt;=N$2),IF('Phân công'!$L20="Xong","✓","■"),"")</f>
        <v/>
      </c>
      <c r="O21" s="13" t="str">
        <f>IF(AND('Phân công'!$C20&lt;=O$2+6,'Phân công'!$D20&gt;=O$2),IF('Phân công'!$L20="Xong","✓","■"),"")</f>
        <v/>
      </c>
      <c r="P21" s="13" t="str">
        <f>IF(AND('Phân công'!$C20&lt;=P$2+6,'Phân công'!$D20&gt;=P$2),IF('Phân công'!$L20="Xong","✓","■"),"")</f>
        <v/>
      </c>
      <c r="Q21" s="13" t="str">
        <f>IF(AND('Phân công'!$C20&lt;=Q$2+6,'Phân công'!$D20&gt;=Q$2),IF('Phân công'!$L20="Xong","✓","■"),"")</f>
        <v/>
      </c>
    </row>
    <row r="22" spans="1:17" x14ac:dyDescent="0.35">
      <c r="A22" s="11" t="str">
        <f>'Phân công'!A21</f>
        <v>T20</v>
      </c>
      <c r="B22" s="12" t="str">
        <f>'Phân công'!F21</f>
        <v>(A) Schema chi tiết: thuộc tính theo nhãn, chiều cạnh, giá trị mẫu, quy ước</v>
      </c>
      <c r="C22" s="11" t="str">
        <f>'Phân công'!G21</f>
        <v>Khôi</v>
      </c>
      <c r="D22" s="13" t="str">
        <f>IF(AND('Phân công'!$C21&lt;=D$2+6,'Phân công'!$D21&gt;=D$2),IF('Phân công'!$L21="Xong","✓","■"),"")</f>
        <v/>
      </c>
      <c r="E22" s="13" t="str">
        <f>IF(AND('Phân công'!$C21&lt;=E$2+6,'Phân công'!$D21&gt;=E$2),IF('Phân công'!$L21="Xong","✓","■"),"")</f>
        <v/>
      </c>
      <c r="F22" s="13" t="str">
        <f>IF(AND('Phân công'!$C21&lt;=F$2+6,'Phân công'!$D21&gt;=F$2),IF('Phân công'!$L21="Xong","✓","■"),"")</f>
        <v/>
      </c>
      <c r="G22" s="13" t="str">
        <f>IF(AND('Phân công'!$C21&lt;=G$2+6,'Phân công'!$D21&gt;=G$2),IF('Phân công'!$L21="Xong","✓","■"),"")</f>
        <v/>
      </c>
      <c r="H22" s="13" t="str">
        <f>IF(AND('Phân công'!$C21&lt;=H$2+6,'Phân công'!$D21&gt;=H$2),IF('Phân công'!$L21="Xong","✓","■"),"")</f>
        <v/>
      </c>
      <c r="I22" s="13" t="str">
        <f>IF(AND('Phân công'!$C21&lt;=I$2+6,'Phân công'!$D21&gt;=I$2),IF('Phân công'!$L21="Xong","✓","■"),"")</f>
        <v>■</v>
      </c>
      <c r="J22" s="13" t="str">
        <f>IF(AND('Phân công'!$C21&lt;=J$2+6,'Phân công'!$D21&gt;=J$2),IF('Phân công'!$L21="Xong","✓","■"),"")</f>
        <v>■</v>
      </c>
      <c r="K22" s="13" t="str">
        <f>IF(AND('Phân công'!$C21&lt;=K$2+6,'Phân công'!$D21&gt;=K$2),IF('Phân công'!$L21="Xong","✓","■"),"")</f>
        <v>■</v>
      </c>
      <c r="L22" s="13" t="str">
        <f>IF(AND('Phân công'!$C21&lt;=L$2+6,'Phân công'!$D21&gt;=L$2),IF('Phân công'!$L21="Xong","✓","■"),"")</f>
        <v/>
      </c>
      <c r="M22" s="13" t="str">
        <f>IF(AND('Phân công'!$C21&lt;=M$2+6,'Phân công'!$D21&gt;=M$2),IF('Phân công'!$L21="Xong","✓","■"),"")</f>
        <v/>
      </c>
      <c r="N22" s="13" t="str">
        <f>IF(AND('Phân công'!$C21&lt;=N$2+6,'Phân công'!$D21&gt;=N$2),IF('Phân công'!$L21="Xong","✓","■"),"")</f>
        <v/>
      </c>
      <c r="O22" s="13" t="str">
        <f>IF(AND('Phân công'!$C21&lt;=O$2+6,'Phân công'!$D21&gt;=O$2),IF('Phân công'!$L21="Xong","✓","■"),"")</f>
        <v/>
      </c>
      <c r="P22" s="13" t="str">
        <f>IF(AND('Phân công'!$C21&lt;=P$2+6,'Phân công'!$D21&gt;=P$2),IF('Phân công'!$L21="Xong","✓","■"),"")</f>
        <v/>
      </c>
      <c r="Q22" s="13" t="str">
        <f>IF(AND('Phân công'!$C21&lt;=Q$2+6,'Phân công'!$D21&gt;=Q$2),IF('Phân công'!$L21="Xong","✓","■"),"")</f>
        <v/>
      </c>
    </row>
    <row r="23" spans="1:17" x14ac:dyDescent="0.35">
      <c r="A23" s="11" t="str">
        <f>'Phân công'!A22</f>
        <v>T21</v>
      </c>
      <c r="B23" s="12" t="str">
        <f>'Phân công'!F22</f>
        <v>(B) Liên kết thực thể: full-text index, chuẩn hóa tên, phát hiện trùng tên</v>
      </c>
      <c r="C23" s="11" t="str">
        <f>'Phân công'!G22</f>
        <v>Ân</v>
      </c>
      <c r="D23" s="13" t="str">
        <f>IF(AND('Phân công'!$C22&lt;=D$2+6,'Phân công'!$D22&gt;=D$2),IF('Phân công'!$L22="Xong","✓","■"),"")</f>
        <v/>
      </c>
      <c r="E23" s="13" t="str">
        <f>IF(AND('Phân công'!$C22&lt;=E$2+6,'Phân công'!$D22&gt;=E$2),IF('Phân công'!$L22="Xong","✓","■"),"")</f>
        <v/>
      </c>
      <c r="F23" s="13" t="str">
        <f>IF(AND('Phân công'!$C22&lt;=F$2+6,'Phân công'!$D22&gt;=F$2),IF('Phân công'!$L22="Xong","✓","■"),"")</f>
        <v/>
      </c>
      <c r="G23" s="13" t="str">
        <f>IF(AND('Phân công'!$C22&lt;=G$2+6,'Phân công'!$D22&gt;=G$2),IF('Phân công'!$L22="Xong","✓","■"),"")</f>
        <v/>
      </c>
      <c r="H23" s="13" t="str">
        <f>IF(AND('Phân công'!$C22&lt;=H$2+6,'Phân công'!$D22&gt;=H$2),IF('Phân công'!$L22="Xong","✓","■"),"")</f>
        <v/>
      </c>
      <c r="I23" s="13" t="str">
        <f>IF(AND('Phân công'!$C22&lt;=I$2+6,'Phân công'!$D22&gt;=I$2),IF('Phân công'!$L22="Xong","✓","■"),"")</f>
        <v>■</v>
      </c>
      <c r="J23" s="13" t="str">
        <f>IF(AND('Phân công'!$C22&lt;=J$2+6,'Phân công'!$D22&gt;=J$2),IF('Phân công'!$L22="Xong","✓","■"),"")</f>
        <v>■</v>
      </c>
      <c r="K23" s="13" t="str">
        <f>IF(AND('Phân công'!$C22&lt;=K$2+6,'Phân công'!$D22&gt;=K$2),IF('Phân công'!$L22="Xong","✓","■"),"")</f>
        <v>■</v>
      </c>
      <c r="L23" s="13" t="str">
        <f>IF(AND('Phân công'!$C22&lt;=L$2+6,'Phân công'!$D22&gt;=L$2),IF('Phân công'!$L22="Xong","✓","■"),"")</f>
        <v/>
      </c>
      <c r="M23" s="13" t="str">
        <f>IF(AND('Phân công'!$C22&lt;=M$2+6,'Phân công'!$D22&gt;=M$2),IF('Phân công'!$L22="Xong","✓","■"),"")</f>
        <v/>
      </c>
      <c r="N23" s="13" t="str">
        <f>IF(AND('Phân công'!$C22&lt;=N$2+6,'Phân công'!$D22&gt;=N$2),IF('Phân công'!$L22="Xong","✓","■"),"")</f>
        <v/>
      </c>
      <c r="O23" s="13" t="str">
        <f>IF(AND('Phân công'!$C22&lt;=O$2+6,'Phân công'!$D22&gt;=O$2),IF('Phân công'!$L22="Xong","✓","■"),"")</f>
        <v/>
      </c>
      <c r="P23" s="13" t="str">
        <f>IF(AND('Phân công'!$C22&lt;=P$2+6,'Phân công'!$D22&gt;=P$2),IF('Phân công'!$L22="Xong","✓","■"),"")</f>
        <v/>
      </c>
      <c r="Q23" s="13" t="str">
        <f>IF(AND('Phân công'!$C22&lt;=Q$2+6,'Phân công'!$D22&gt;=Q$2),IF('Phân công'!$L22="Xong","✓","■"),"")</f>
        <v/>
      </c>
    </row>
    <row r="24" spans="1:17" x14ac:dyDescent="0.35">
      <c r="A24" s="11" t="str">
        <f>'Phân công'!A23</f>
        <v>T22</v>
      </c>
      <c r="B24" s="12" t="str">
        <f>'Phân công'!F23</f>
        <v>(C) Few-shot động: chọn k = 3 ví dụ dev gần nhất</v>
      </c>
      <c r="C24" s="11" t="str">
        <f>'Phân công'!G23</f>
        <v>Vũ</v>
      </c>
      <c r="D24" s="13" t="str">
        <f>IF(AND('Phân công'!$C23&lt;=D$2+6,'Phân công'!$D23&gt;=D$2),IF('Phân công'!$L23="Xong","✓","■"),"")</f>
        <v/>
      </c>
      <c r="E24" s="13" t="str">
        <f>IF(AND('Phân công'!$C23&lt;=E$2+6,'Phân công'!$D23&gt;=E$2),IF('Phân công'!$L23="Xong","✓","■"),"")</f>
        <v/>
      </c>
      <c r="F24" s="13" t="str">
        <f>IF(AND('Phân công'!$C23&lt;=F$2+6,'Phân công'!$D23&gt;=F$2),IF('Phân công'!$L23="Xong","✓","■"),"")</f>
        <v/>
      </c>
      <c r="G24" s="13" t="str">
        <f>IF(AND('Phân công'!$C23&lt;=G$2+6,'Phân công'!$D23&gt;=G$2),IF('Phân công'!$L23="Xong","✓","■"),"")</f>
        <v/>
      </c>
      <c r="H24" s="13" t="str">
        <f>IF(AND('Phân công'!$C23&lt;=H$2+6,'Phân công'!$D23&gt;=H$2),IF('Phân công'!$L23="Xong","✓","■"),"")</f>
        <v/>
      </c>
      <c r="I24" s="13" t="str">
        <f>IF(AND('Phân công'!$C23&lt;=I$2+6,'Phân công'!$D23&gt;=I$2),IF('Phân công'!$L23="Xong","✓","■"),"")</f>
        <v>■</v>
      </c>
      <c r="J24" s="13" t="str">
        <f>IF(AND('Phân công'!$C23&lt;=J$2+6,'Phân công'!$D23&gt;=J$2),IF('Phân công'!$L23="Xong","✓","■"),"")</f>
        <v>■</v>
      </c>
      <c r="K24" s="13" t="str">
        <f>IF(AND('Phân công'!$C23&lt;=K$2+6,'Phân công'!$D23&gt;=K$2),IF('Phân công'!$L23="Xong","✓","■"),"")</f>
        <v>■</v>
      </c>
      <c r="L24" s="13" t="str">
        <f>IF(AND('Phân công'!$C23&lt;=L$2+6,'Phân công'!$D23&gt;=L$2),IF('Phân công'!$L23="Xong","✓","■"),"")</f>
        <v/>
      </c>
      <c r="M24" s="13" t="str">
        <f>IF(AND('Phân công'!$C23&lt;=M$2+6,'Phân công'!$D23&gt;=M$2),IF('Phân công'!$L23="Xong","✓","■"),"")</f>
        <v/>
      </c>
      <c r="N24" s="13" t="str">
        <f>IF(AND('Phân công'!$C23&lt;=N$2+6,'Phân công'!$D23&gt;=N$2),IF('Phân công'!$L23="Xong","✓","■"),"")</f>
        <v/>
      </c>
      <c r="O24" s="13" t="str">
        <f>IF(AND('Phân công'!$C23&lt;=O$2+6,'Phân công'!$D23&gt;=O$2),IF('Phân công'!$L23="Xong","✓","■"),"")</f>
        <v/>
      </c>
      <c r="P24" s="13" t="str">
        <f>IF(AND('Phân công'!$C23&lt;=P$2+6,'Phân công'!$D23&gt;=P$2),IF('Phân công'!$L23="Xong","✓","■"),"")</f>
        <v/>
      </c>
      <c r="Q24" s="13" t="str">
        <f>IF(AND('Phân công'!$C23&lt;=Q$2+6,'Phân công'!$D23&gt;=Q$2),IF('Phân công'!$L23="Xong","✓","■"),"")</f>
        <v/>
      </c>
    </row>
    <row r="25" spans="1:17" x14ac:dyDescent="0.35">
      <c r="A25" s="11" t="str">
        <f>'Phân công'!A24</f>
        <v>T23</v>
      </c>
      <c r="B25" s="12" t="str">
        <f>'Phân công'!F24</f>
        <v>(D) Tự sửa lỗi (tối đa 2 lần, không dùng gold) + sinh câu trả lời</v>
      </c>
      <c r="C25" s="11" t="str">
        <f>'Phân công'!G24</f>
        <v>Bằng</v>
      </c>
      <c r="D25" s="13" t="str">
        <f>IF(AND('Phân công'!$C24&lt;=D$2+6,'Phân công'!$D24&gt;=D$2),IF('Phân công'!$L24="Xong","✓","■"),"")</f>
        <v/>
      </c>
      <c r="E25" s="13" t="str">
        <f>IF(AND('Phân công'!$C24&lt;=E$2+6,'Phân công'!$D24&gt;=E$2),IF('Phân công'!$L24="Xong","✓","■"),"")</f>
        <v/>
      </c>
      <c r="F25" s="13" t="str">
        <f>IF(AND('Phân công'!$C24&lt;=F$2+6,'Phân công'!$D24&gt;=F$2),IF('Phân công'!$L24="Xong","✓","■"),"")</f>
        <v/>
      </c>
      <c r="G25" s="13" t="str">
        <f>IF(AND('Phân công'!$C24&lt;=G$2+6,'Phân công'!$D24&gt;=G$2),IF('Phân công'!$L24="Xong","✓","■"),"")</f>
        <v/>
      </c>
      <c r="H25" s="13" t="str">
        <f>IF(AND('Phân công'!$C24&lt;=H$2+6,'Phân công'!$D24&gt;=H$2),IF('Phân công'!$L24="Xong","✓","■"),"")</f>
        <v/>
      </c>
      <c r="I25" s="13" t="str">
        <f>IF(AND('Phân công'!$C24&lt;=I$2+6,'Phân công'!$D24&gt;=I$2),IF('Phân công'!$L24="Xong","✓","■"),"")</f>
        <v>■</v>
      </c>
      <c r="J25" s="13" t="str">
        <f>IF(AND('Phân công'!$C24&lt;=J$2+6,'Phân công'!$D24&gt;=J$2),IF('Phân công'!$L24="Xong","✓","■"),"")</f>
        <v>■</v>
      </c>
      <c r="K25" s="13" t="str">
        <f>IF(AND('Phân công'!$C24&lt;=K$2+6,'Phân công'!$D24&gt;=K$2),IF('Phân công'!$L24="Xong","✓","■"),"")</f>
        <v>■</v>
      </c>
      <c r="L25" s="13" t="str">
        <f>IF(AND('Phân công'!$C24&lt;=L$2+6,'Phân công'!$D24&gt;=L$2),IF('Phân công'!$L24="Xong","✓","■"),"")</f>
        <v/>
      </c>
      <c r="M25" s="13" t="str">
        <f>IF(AND('Phân công'!$C24&lt;=M$2+6,'Phân công'!$D24&gt;=M$2),IF('Phân công'!$L24="Xong","✓","■"),"")</f>
        <v/>
      </c>
      <c r="N25" s="13" t="str">
        <f>IF(AND('Phân công'!$C24&lt;=N$2+6,'Phân công'!$D24&gt;=N$2),IF('Phân công'!$L24="Xong","✓","■"),"")</f>
        <v/>
      </c>
      <c r="O25" s="13" t="str">
        <f>IF(AND('Phân công'!$C24&lt;=O$2+6,'Phân công'!$D24&gt;=O$2),IF('Phân công'!$L24="Xong","✓","■"),"")</f>
        <v/>
      </c>
      <c r="P25" s="13" t="str">
        <f>IF(AND('Phân công'!$C24&lt;=P$2+6,'Phân công'!$D24&gt;=P$2),IF('Phân công'!$L24="Xong","✓","■"),"")</f>
        <v/>
      </c>
      <c r="Q25" s="13" t="str">
        <f>IF(AND('Phân công'!$C24&lt;=Q$2+6,'Phân công'!$D24&gt;=Q$2),IF('Phân công'!$L24="Xong","✓","■"),"")</f>
        <v/>
      </c>
    </row>
    <row r="26" spans="1:17" x14ac:dyDescent="0.35">
      <c r="A26" s="11" t="str">
        <f>'Phân công'!A25</f>
        <v>T24</v>
      </c>
      <c r="B26" s="12" t="str">
        <f>'Phân công'!F25</f>
        <v>Tích hợp pipeline đề xuất (A–D), review code, chạy thử trên dev</v>
      </c>
      <c r="C26" s="11" t="str">
        <f>'Phân công'!G25</f>
        <v>Bằng</v>
      </c>
      <c r="D26" s="13" t="str">
        <f>IF(AND('Phân công'!$C25&lt;=D$2+6,'Phân công'!$D25&gt;=D$2),IF('Phân công'!$L25="Xong","✓","■"),"")</f>
        <v/>
      </c>
      <c r="E26" s="13" t="str">
        <f>IF(AND('Phân công'!$C25&lt;=E$2+6,'Phân công'!$D25&gt;=E$2),IF('Phân công'!$L25="Xong","✓","■"),"")</f>
        <v/>
      </c>
      <c r="F26" s="13" t="str">
        <f>IF(AND('Phân công'!$C25&lt;=F$2+6,'Phân công'!$D25&gt;=F$2),IF('Phân công'!$L25="Xong","✓","■"),"")</f>
        <v/>
      </c>
      <c r="G26" s="13" t="str">
        <f>IF(AND('Phân công'!$C25&lt;=G$2+6,'Phân công'!$D25&gt;=G$2),IF('Phân công'!$L25="Xong","✓","■"),"")</f>
        <v/>
      </c>
      <c r="H26" s="13" t="str">
        <f>IF(AND('Phân công'!$C25&lt;=H$2+6,'Phân công'!$D25&gt;=H$2),IF('Phân công'!$L25="Xong","✓","■"),"")</f>
        <v/>
      </c>
      <c r="I26" s="13" t="str">
        <f>IF(AND('Phân công'!$C25&lt;=I$2+6,'Phân công'!$D25&gt;=I$2),IF('Phân công'!$L25="Xong","✓","■"),"")</f>
        <v>■</v>
      </c>
      <c r="J26" s="13" t="str">
        <f>IF(AND('Phân công'!$C25&lt;=J$2+6,'Phân công'!$D25&gt;=J$2),IF('Phân công'!$L25="Xong","✓","■"),"")</f>
        <v>■</v>
      </c>
      <c r="K26" s="13" t="str">
        <f>IF(AND('Phân công'!$C25&lt;=K$2+6,'Phân công'!$D25&gt;=K$2),IF('Phân công'!$L25="Xong","✓","■"),"")</f>
        <v>■</v>
      </c>
      <c r="L26" s="13" t="str">
        <f>IF(AND('Phân công'!$C25&lt;=L$2+6,'Phân công'!$D25&gt;=L$2),IF('Phân công'!$L25="Xong","✓","■"),"")</f>
        <v/>
      </c>
      <c r="M26" s="13" t="str">
        <f>IF(AND('Phân công'!$C25&lt;=M$2+6,'Phân công'!$D25&gt;=M$2),IF('Phân công'!$L25="Xong","✓","■"),"")</f>
        <v/>
      </c>
      <c r="N26" s="13" t="str">
        <f>IF(AND('Phân công'!$C25&lt;=N$2+6,'Phân công'!$D25&gt;=N$2),IF('Phân công'!$L25="Xong","✓","■"),"")</f>
        <v/>
      </c>
      <c r="O26" s="13" t="str">
        <f>IF(AND('Phân công'!$C25&lt;=O$2+6,'Phân công'!$D25&gt;=O$2),IF('Phân công'!$L25="Xong","✓","■"),"")</f>
        <v/>
      </c>
      <c r="P26" s="13" t="str">
        <f>IF(AND('Phân công'!$C25&lt;=P$2+6,'Phân công'!$D25&gt;=P$2),IF('Phân công'!$L25="Xong","✓","■"),"")</f>
        <v/>
      </c>
      <c r="Q26" s="13" t="str">
        <f>IF(AND('Phân công'!$C25&lt;=Q$2+6,'Phân công'!$D25&gt;=Q$2),IF('Phân công'!$L25="Xong","✓","■"),"")</f>
        <v/>
      </c>
    </row>
    <row r="27" spans="1:17" x14ac:dyDescent="0.35">
      <c r="A27" s="11" t="str">
        <f>'Phân công'!A26</f>
        <v>T25</v>
      </c>
      <c r="B27" s="12" t="str">
        <f>'Phân công'!F26</f>
        <v>Viết mục Related work và Data cho báo cáo cuối kỳ; soạn tiêu chí chấm tay câu trả lời</v>
      </c>
      <c r="C27" s="11" t="str">
        <f>'Phân công'!G26</f>
        <v>Hương</v>
      </c>
      <c r="D27" s="13" t="str">
        <f>IF(AND('Phân công'!$C26&lt;=D$2+6,'Phân công'!$D26&gt;=D$2),IF('Phân công'!$L26="Xong","✓","■"),"")</f>
        <v/>
      </c>
      <c r="E27" s="13" t="str">
        <f>IF(AND('Phân công'!$C26&lt;=E$2+6,'Phân công'!$D26&gt;=E$2),IF('Phân công'!$L26="Xong","✓","■"),"")</f>
        <v/>
      </c>
      <c r="F27" s="13" t="str">
        <f>IF(AND('Phân công'!$C26&lt;=F$2+6,'Phân công'!$D26&gt;=F$2),IF('Phân công'!$L26="Xong","✓","■"),"")</f>
        <v/>
      </c>
      <c r="G27" s="13" t="str">
        <f>IF(AND('Phân công'!$C26&lt;=G$2+6,'Phân công'!$D26&gt;=G$2),IF('Phân công'!$L26="Xong","✓","■"),"")</f>
        <v/>
      </c>
      <c r="H27" s="13" t="str">
        <f>IF(AND('Phân công'!$C26&lt;=H$2+6,'Phân công'!$D26&gt;=H$2),IF('Phân công'!$L26="Xong","✓","■"),"")</f>
        <v/>
      </c>
      <c r="I27" s="13" t="str">
        <f>IF(AND('Phân công'!$C26&lt;=I$2+6,'Phân công'!$D26&gt;=I$2),IF('Phân công'!$L26="Xong","✓","■"),"")</f>
        <v>■</v>
      </c>
      <c r="J27" s="13" t="str">
        <f>IF(AND('Phân công'!$C26&lt;=J$2+6,'Phân công'!$D26&gt;=J$2),IF('Phân công'!$L26="Xong","✓","■"),"")</f>
        <v>■</v>
      </c>
      <c r="K27" s="13" t="str">
        <f>IF(AND('Phân công'!$C26&lt;=K$2+6,'Phân công'!$D26&gt;=K$2),IF('Phân công'!$L26="Xong","✓","■"),"")</f>
        <v>■</v>
      </c>
      <c r="L27" s="13" t="str">
        <f>IF(AND('Phân công'!$C26&lt;=L$2+6,'Phân công'!$D26&gt;=L$2),IF('Phân công'!$L26="Xong","✓","■"),"")</f>
        <v/>
      </c>
      <c r="M27" s="13" t="str">
        <f>IF(AND('Phân công'!$C26&lt;=M$2+6,'Phân công'!$D26&gt;=M$2),IF('Phân công'!$L26="Xong","✓","■"),"")</f>
        <v/>
      </c>
      <c r="N27" s="13" t="str">
        <f>IF(AND('Phân công'!$C26&lt;=N$2+6,'Phân công'!$D26&gt;=N$2),IF('Phân công'!$L26="Xong","✓","■"),"")</f>
        <v/>
      </c>
      <c r="O27" s="13" t="str">
        <f>IF(AND('Phân công'!$C26&lt;=O$2+6,'Phân công'!$D26&gt;=O$2),IF('Phân công'!$L26="Xong","✓","■"),"")</f>
        <v/>
      </c>
      <c r="P27" s="13" t="str">
        <f>IF(AND('Phân công'!$C26&lt;=P$2+6,'Phân công'!$D26&gt;=P$2),IF('Phân công'!$L26="Xong","✓","■"),"")</f>
        <v/>
      </c>
      <c r="Q27" s="13" t="str">
        <f>IF(AND('Phân công'!$C26&lt;=Q$2+6,'Phân công'!$D26&gt;=Q$2),IF('Phân công'!$L26="Xong","✓","■"),"")</f>
        <v/>
      </c>
    </row>
    <row r="28" spans="1:17" x14ac:dyDescent="0.35">
      <c r="A28" s="11" t="str">
        <f>'Phân công'!A27</f>
        <v>T26</v>
      </c>
      <c r="B28" s="12" t="str">
        <f>'Phân công'!F27</f>
        <v>Script chạy thí nghiệm theo lô: cache output, chạy tiếp khi bị dừng, tôn trọng hạn mức Groq</v>
      </c>
      <c r="C28" s="11" t="str">
        <f>'Phân công'!G27</f>
        <v>Bảo</v>
      </c>
      <c r="D28" s="13" t="str">
        <f>IF(AND('Phân công'!$C27&lt;=D$2+6,'Phân công'!$D27&gt;=D$2),IF('Phân công'!$L27="Xong","✓","■"),"")</f>
        <v/>
      </c>
      <c r="E28" s="13" t="str">
        <f>IF(AND('Phân công'!$C27&lt;=E$2+6,'Phân công'!$D27&gt;=E$2),IF('Phân công'!$L27="Xong","✓","■"),"")</f>
        <v/>
      </c>
      <c r="F28" s="13" t="str">
        <f>IF(AND('Phân công'!$C27&lt;=F$2+6,'Phân công'!$D27&gt;=F$2),IF('Phân công'!$L27="Xong","✓","■"),"")</f>
        <v/>
      </c>
      <c r="G28" s="13" t="str">
        <f>IF(AND('Phân công'!$C27&lt;=G$2+6,'Phân công'!$D27&gt;=G$2),IF('Phân công'!$L27="Xong","✓","■"),"")</f>
        <v/>
      </c>
      <c r="H28" s="13" t="str">
        <f>IF(AND('Phân công'!$C27&lt;=H$2+6,'Phân công'!$D27&gt;=H$2),IF('Phân công'!$L27="Xong","✓","■"),"")</f>
        <v/>
      </c>
      <c r="I28" s="13" t="str">
        <f>IF(AND('Phân công'!$C27&lt;=I$2+6,'Phân công'!$D27&gt;=I$2),IF('Phân công'!$L27="Xong","✓","■"),"")</f>
        <v/>
      </c>
      <c r="J28" s="13" t="str">
        <f>IF(AND('Phân công'!$C27&lt;=J$2+6,'Phân công'!$D27&gt;=J$2),IF('Phân công'!$L27="Xong","✓","■"),"")</f>
        <v/>
      </c>
      <c r="K28" s="13" t="str">
        <f>IF(AND('Phân công'!$C27&lt;=K$2+6,'Phân công'!$D27&gt;=K$2),IF('Phân công'!$L27="Xong","✓","■"),"")</f>
        <v/>
      </c>
      <c r="L28" s="13" t="str">
        <f>IF(AND('Phân công'!$C27&lt;=L$2+6,'Phân công'!$D27&gt;=L$2),IF('Phân công'!$L27="Xong","✓","■"),"")</f>
        <v>■</v>
      </c>
      <c r="M28" s="13" t="str">
        <f>IF(AND('Phân công'!$C27&lt;=M$2+6,'Phân công'!$D27&gt;=M$2),IF('Phân công'!$L27="Xong","✓","■"),"")</f>
        <v/>
      </c>
      <c r="N28" s="13" t="str">
        <f>IF(AND('Phân công'!$C27&lt;=N$2+6,'Phân công'!$D27&gt;=N$2),IF('Phân công'!$L27="Xong","✓","■"),"")</f>
        <v/>
      </c>
      <c r="O28" s="13" t="str">
        <f>IF(AND('Phân công'!$C27&lt;=O$2+6,'Phân công'!$D27&gt;=O$2),IF('Phân công'!$L27="Xong","✓","■"),"")</f>
        <v/>
      </c>
      <c r="P28" s="13" t="str">
        <f>IF(AND('Phân công'!$C27&lt;=P$2+6,'Phân công'!$D27&gt;=P$2),IF('Phân công'!$L27="Xong","✓","■"),"")</f>
        <v/>
      </c>
      <c r="Q28" s="13" t="str">
        <f>IF(AND('Phân công'!$C27&lt;=Q$2+6,'Phân công'!$D27&gt;=Q$2),IF('Phân công'!$L27="Xong","✓","■"),"")</f>
        <v/>
      </c>
    </row>
    <row r="29" spans="1:17" x14ac:dyDescent="0.35">
      <c r="A29" s="11" t="str">
        <f>'Phân công'!A28</f>
        <v>T27</v>
      </c>
      <c r="B29" s="12" t="str">
        <f>'Phân công'!F28</f>
        <v>E1 so sánh chính + B3 (Llama-3.3-70B, gpt-oss-120b), 3 lần chạy; quản lý hạn mức Groq, cache</v>
      </c>
      <c r="C29" s="11" t="str">
        <f>'Phân công'!G28</f>
        <v>Bằng</v>
      </c>
      <c r="D29" s="13" t="str">
        <f>IF(AND('Phân công'!$C28&lt;=D$2+6,'Phân công'!$D28&gt;=D$2),IF('Phân công'!$L28="Xong","✓","■"),"")</f>
        <v/>
      </c>
      <c r="E29" s="13" t="str">
        <f>IF(AND('Phân công'!$C28&lt;=E$2+6,'Phân công'!$D28&gt;=E$2),IF('Phân công'!$L28="Xong","✓","■"),"")</f>
        <v/>
      </c>
      <c r="F29" s="13" t="str">
        <f>IF(AND('Phân công'!$C28&lt;=F$2+6,'Phân công'!$D28&gt;=F$2),IF('Phân công'!$L28="Xong","✓","■"),"")</f>
        <v/>
      </c>
      <c r="G29" s="13" t="str">
        <f>IF(AND('Phân công'!$C28&lt;=G$2+6,'Phân công'!$D28&gt;=G$2),IF('Phân công'!$L28="Xong","✓","■"),"")</f>
        <v/>
      </c>
      <c r="H29" s="13" t="str">
        <f>IF(AND('Phân công'!$C28&lt;=H$2+6,'Phân công'!$D28&gt;=H$2),IF('Phân công'!$L28="Xong","✓","■"),"")</f>
        <v/>
      </c>
      <c r="I29" s="13" t="str">
        <f>IF(AND('Phân công'!$C28&lt;=I$2+6,'Phân công'!$D28&gt;=I$2),IF('Phân công'!$L28="Xong","✓","■"),"")</f>
        <v/>
      </c>
      <c r="J29" s="13" t="str">
        <f>IF(AND('Phân công'!$C28&lt;=J$2+6,'Phân công'!$D28&gt;=J$2),IF('Phân công'!$L28="Xong","✓","■"),"")</f>
        <v/>
      </c>
      <c r="K29" s="13" t="str">
        <f>IF(AND('Phân công'!$C28&lt;=K$2+6,'Phân công'!$D28&gt;=K$2),IF('Phân công'!$L28="Xong","✓","■"),"")</f>
        <v/>
      </c>
      <c r="L29" s="13" t="str">
        <f>IF(AND('Phân công'!$C28&lt;=L$2+6,'Phân công'!$D28&gt;=L$2),IF('Phân công'!$L28="Xong","✓","■"),"")</f>
        <v>■</v>
      </c>
      <c r="M29" s="13" t="str">
        <f>IF(AND('Phân công'!$C28&lt;=M$2+6,'Phân công'!$D28&gt;=M$2),IF('Phân công'!$L28="Xong","✓","■"),"")</f>
        <v>■</v>
      </c>
      <c r="N29" s="13" t="str">
        <f>IF(AND('Phân công'!$C28&lt;=N$2+6,'Phân công'!$D28&gt;=N$2),IF('Phân công'!$L28="Xong","✓","■"),"")</f>
        <v/>
      </c>
      <c r="O29" s="13" t="str">
        <f>IF(AND('Phân công'!$C28&lt;=O$2+6,'Phân công'!$D28&gt;=O$2),IF('Phân công'!$L28="Xong","✓","■"),"")</f>
        <v/>
      </c>
      <c r="P29" s="13" t="str">
        <f>IF(AND('Phân công'!$C28&lt;=P$2+6,'Phân công'!$D28&gt;=P$2),IF('Phân công'!$L28="Xong","✓","■"),"")</f>
        <v/>
      </c>
      <c r="Q29" s="13" t="str">
        <f>IF(AND('Phân công'!$C28&lt;=Q$2+6,'Phân công'!$D28&gt;=Q$2),IF('Phân công'!$L28="Xong","✓","■"),"")</f>
        <v/>
      </c>
    </row>
    <row r="30" spans="1:17" x14ac:dyDescent="0.35">
      <c r="A30" s="11" t="str">
        <f>'Phân công'!A29</f>
        <v>T28</v>
      </c>
      <c r="B30" s="12" t="str">
        <f>'Phân công'!F29</f>
        <v>E2 ablation (bỏ lần lượt A, B, C, D), 3 lần chạy</v>
      </c>
      <c r="C30" s="11" t="str">
        <f>'Phân công'!G29</f>
        <v>Ân</v>
      </c>
      <c r="D30" s="13" t="str">
        <f>IF(AND('Phân công'!$C29&lt;=D$2+6,'Phân công'!$D29&gt;=D$2),IF('Phân công'!$L29="Xong","✓","■"),"")</f>
        <v/>
      </c>
      <c r="E30" s="13" t="str">
        <f>IF(AND('Phân công'!$C29&lt;=E$2+6,'Phân công'!$D29&gt;=E$2),IF('Phân công'!$L29="Xong","✓","■"),"")</f>
        <v/>
      </c>
      <c r="F30" s="13" t="str">
        <f>IF(AND('Phân công'!$C29&lt;=F$2+6,'Phân công'!$D29&gt;=F$2),IF('Phân công'!$L29="Xong","✓","■"),"")</f>
        <v/>
      </c>
      <c r="G30" s="13" t="str">
        <f>IF(AND('Phân công'!$C29&lt;=G$2+6,'Phân công'!$D29&gt;=G$2),IF('Phân công'!$L29="Xong","✓","■"),"")</f>
        <v/>
      </c>
      <c r="H30" s="13" t="str">
        <f>IF(AND('Phân công'!$C29&lt;=H$2+6,'Phân công'!$D29&gt;=H$2),IF('Phân công'!$L29="Xong","✓","■"),"")</f>
        <v/>
      </c>
      <c r="I30" s="13" t="str">
        <f>IF(AND('Phân công'!$C29&lt;=I$2+6,'Phân công'!$D29&gt;=I$2),IF('Phân công'!$L29="Xong","✓","■"),"")</f>
        <v/>
      </c>
      <c r="J30" s="13" t="str">
        <f>IF(AND('Phân công'!$C29&lt;=J$2+6,'Phân công'!$D29&gt;=J$2),IF('Phân công'!$L29="Xong","✓","■"),"")</f>
        <v/>
      </c>
      <c r="K30" s="13" t="str">
        <f>IF(AND('Phân công'!$C29&lt;=K$2+6,'Phân công'!$D29&gt;=K$2),IF('Phân công'!$L29="Xong","✓","■"),"")</f>
        <v/>
      </c>
      <c r="L30" s="13" t="str">
        <f>IF(AND('Phân công'!$C29&lt;=L$2+6,'Phân công'!$D29&gt;=L$2),IF('Phân công'!$L29="Xong","✓","■"),"")</f>
        <v>■</v>
      </c>
      <c r="M30" s="13" t="str">
        <f>IF(AND('Phân công'!$C29&lt;=M$2+6,'Phân công'!$D29&gt;=M$2),IF('Phân công'!$L29="Xong","✓","■"),"")</f>
        <v>■</v>
      </c>
      <c r="N30" s="13" t="str">
        <f>IF(AND('Phân công'!$C29&lt;=N$2+6,'Phân công'!$D29&gt;=N$2),IF('Phân công'!$L29="Xong","✓","■"),"")</f>
        <v/>
      </c>
      <c r="O30" s="13" t="str">
        <f>IF(AND('Phân công'!$C29&lt;=O$2+6,'Phân công'!$D29&gt;=O$2),IF('Phân công'!$L29="Xong","✓","■"),"")</f>
        <v/>
      </c>
      <c r="P30" s="13" t="str">
        <f>IF(AND('Phân công'!$C29&lt;=P$2+6,'Phân công'!$D29&gt;=P$2),IF('Phân công'!$L29="Xong","✓","■"),"")</f>
        <v/>
      </c>
      <c r="Q30" s="13" t="str">
        <f>IF(AND('Phân công'!$C29&lt;=Q$2+6,'Phân công'!$D29&gt;=Q$2),IF('Phân công'!$L29="Xong","✓","■"),"")</f>
        <v/>
      </c>
    </row>
    <row r="31" spans="1:17" x14ac:dyDescent="0.35">
      <c r="A31" s="11" t="str">
        <f>'Phân công'!A30</f>
        <v>T29</v>
      </c>
      <c r="B31" s="12" t="str">
        <f>'Phân công'!F30</f>
        <v>E3 áp dụng pipeline lên Llama-3.3-70B, 3 lần chạy</v>
      </c>
      <c r="C31" s="11" t="str">
        <f>'Phân công'!G30</f>
        <v>Vũ</v>
      </c>
      <c r="D31" s="13" t="str">
        <f>IF(AND('Phân công'!$C30&lt;=D$2+6,'Phân công'!$D30&gt;=D$2),IF('Phân công'!$L30="Xong","✓","■"),"")</f>
        <v/>
      </c>
      <c r="E31" s="13" t="str">
        <f>IF(AND('Phân công'!$C30&lt;=E$2+6,'Phân công'!$D30&gt;=E$2),IF('Phân công'!$L30="Xong","✓","■"),"")</f>
        <v/>
      </c>
      <c r="F31" s="13" t="str">
        <f>IF(AND('Phân công'!$C30&lt;=F$2+6,'Phân công'!$D30&gt;=F$2),IF('Phân công'!$L30="Xong","✓","■"),"")</f>
        <v/>
      </c>
      <c r="G31" s="13" t="str">
        <f>IF(AND('Phân công'!$C30&lt;=G$2+6,'Phân công'!$D30&gt;=G$2),IF('Phân công'!$L30="Xong","✓","■"),"")</f>
        <v/>
      </c>
      <c r="H31" s="13" t="str">
        <f>IF(AND('Phân công'!$C30&lt;=H$2+6,'Phân công'!$D30&gt;=H$2),IF('Phân công'!$L30="Xong","✓","■"),"")</f>
        <v/>
      </c>
      <c r="I31" s="13" t="str">
        <f>IF(AND('Phân công'!$C30&lt;=I$2+6,'Phân công'!$D30&gt;=I$2),IF('Phân công'!$L30="Xong","✓","■"),"")</f>
        <v/>
      </c>
      <c r="J31" s="13" t="str">
        <f>IF(AND('Phân công'!$C30&lt;=J$2+6,'Phân công'!$D30&gt;=J$2),IF('Phân công'!$L30="Xong","✓","■"),"")</f>
        <v/>
      </c>
      <c r="K31" s="13" t="str">
        <f>IF(AND('Phân công'!$C30&lt;=K$2+6,'Phân công'!$D30&gt;=K$2),IF('Phân công'!$L30="Xong","✓","■"),"")</f>
        <v/>
      </c>
      <c r="L31" s="13" t="str">
        <f>IF(AND('Phân công'!$C30&lt;=L$2+6,'Phân công'!$D30&gt;=L$2),IF('Phân công'!$L30="Xong","✓","■"),"")</f>
        <v>■</v>
      </c>
      <c r="M31" s="13" t="str">
        <f>IF(AND('Phân công'!$C30&lt;=M$2+6,'Phân công'!$D30&gt;=M$2),IF('Phân công'!$L30="Xong","✓","■"),"")</f>
        <v>■</v>
      </c>
      <c r="N31" s="13" t="str">
        <f>IF(AND('Phân công'!$C30&lt;=N$2+6,'Phân công'!$D30&gt;=N$2),IF('Phân công'!$L30="Xong","✓","■"),"")</f>
        <v/>
      </c>
      <c r="O31" s="13" t="str">
        <f>IF(AND('Phân công'!$C30&lt;=O$2+6,'Phân công'!$D30&gt;=O$2),IF('Phân công'!$L30="Xong","✓","■"),"")</f>
        <v/>
      </c>
      <c r="P31" s="13" t="str">
        <f>IF(AND('Phân công'!$C30&lt;=P$2+6,'Phân công'!$D30&gt;=P$2),IF('Phân công'!$L30="Xong","✓","■"),"")</f>
        <v/>
      </c>
      <c r="Q31" s="13" t="str">
        <f>IF(AND('Phân công'!$C30&lt;=Q$2+6,'Phân công'!$D30&gt;=Q$2),IF('Phân công'!$L30="Xong","✓","■"),"")</f>
        <v/>
      </c>
    </row>
    <row r="32" spans="1:17" x14ac:dyDescent="0.35">
      <c r="A32" s="11" t="str">
        <f>'Phân công'!A31</f>
        <v>T30</v>
      </c>
      <c r="B32" s="12" t="str">
        <f>'Phân công'!F31</f>
        <v>Chấm tay độ trung thực 50 câu trả lời văn bản theo tiêu chí</v>
      </c>
      <c r="C32" s="11" t="str">
        <f>'Phân công'!G31</f>
        <v>Hương</v>
      </c>
      <c r="D32" s="13" t="str">
        <f>IF(AND('Phân công'!$C31&lt;=D$2+6,'Phân công'!$D31&gt;=D$2),IF('Phân công'!$L31="Xong","✓","■"),"")</f>
        <v/>
      </c>
      <c r="E32" s="13" t="str">
        <f>IF(AND('Phân công'!$C31&lt;=E$2+6,'Phân công'!$D31&gt;=E$2),IF('Phân công'!$L31="Xong","✓","■"),"")</f>
        <v/>
      </c>
      <c r="F32" s="13" t="str">
        <f>IF(AND('Phân công'!$C31&lt;=F$2+6,'Phân công'!$D31&gt;=F$2),IF('Phân công'!$L31="Xong","✓","■"),"")</f>
        <v/>
      </c>
      <c r="G32" s="13" t="str">
        <f>IF(AND('Phân công'!$C31&lt;=G$2+6,'Phân công'!$D31&gt;=G$2),IF('Phân công'!$L31="Xong","✓","■"),"")</f>
        <v/>
      </c>
      <c r="H32" s="13" t="str">
        <f>IF(AND('Phân công'!$C31&lt;=H$2+6,'Phân công'!$D31&gt;=H$2),IF('Phân công'!$L31="Xong","✓","■"),"")</f>
        <v/>
      </c>
      <c r="I32" s="13" t="str">
        <f>IF(AND('Phân công'!$C31&lt;=I$2+6,'Phân công'!$D31&gt;=I$2),IF('Phân công'!$L31="Xong","✓","■"),"")</f>
        <v/>
      </c>
      <c r="J32" s="13" t="str">
        <f>IF(AND('Phân công'!$C31&lt;=J$2+6,'Phân công'!$D31&gt;=J$2),IF('Phân công'!$L31="Xong","✓","■"),"")</f>
        <v/>
      </c>
      <c r="K32" s="13" t="str">
        <f>IF(AND('Phân công'!$C31&lt;=K$2+6,'Phân công'!$D31&gt;=K$2),IF('Phân công'!$L31="Xong","✓","■"),"")</f>
        <v/>
      </c>
      <c r="L32" s="13" t="str">
        <f>IF(AND('Phân công'!$C31&lt;=L$2+6,'Phân công'!$D31&gt;=L$2),IF('Phân công'!$L31="Xong","✓","■"),"")</f>
        <v>■</v>
      </c>
      <c r="M32" s="13" t="str">
        <f>IF(AND('Phân công'!$C31&lt;=M$2+6,'Phân công'!$D31&gt;=M$2),IF('Phân công'!$L31="Xong","✓","■"),"")</f>
        <v>■</v>
      </c>
      <c r="N32" s="13" t="str">
        <f>IF(AND('Phân công'!$C31&lt;=N$2+6,'Phân công'!$D31&gt;=N$2),IF('Phân công'!$L31="Xong","✓","■"),"")</f>
        <v/>
      </c>
      <c r="O32" s="13" t="str">
        <f>IF(AND('Phân công'!$C31&lt;=O$2+6,'Phân công'!$D31&gt;=O$2),IF('Phân công'!$L31="Xong","✓","■"),"")</f>
        <v/>
      </c>
      <c r="P32" s="13" t="str">
        <f>IF(AND('Phân công'!$C31&lt;=P$2+6,'Phân công'!$D31&gt;=P$2),IF('Phân công'!$L31="Xong","✓","■"),"")</f>
        <v/>
      </c>
      <c r="Q32" s="13" t="str">
        <f>IF(AND('Phân công'!$C31&lt;=Q$2+6,'Phân công'!$D31&gt;=Q$2),IF('Phân công'!$L31="Xong","✓","■"),"")</f>
        <v/>
      </c>
    </row>
    <row r="33" spans="1:17" x14ac:dyDescent="0.35">
      <c r="A33" s="11" t="str">
        <f>'Phân công'!A32</f>
        <v>T31</v>
      </c>
      <c r="B33" s="12" t="str">
        <f>'Phân công'!F32</f>
        <v>Tổng hợp số liệu E1–E3 thành bảng và biểu đồ (Excel)</v>
      </c>
      <c r="C33" s="11" t="str">
        <f>'Phân công'!G32</f>
        <v>Hương</v>
      </c>
      <c r="D33" s="13" t="str">
        <f>IF(AND('Phân công'!$C32&lt;=D$2+6,'Phân công'!$D32&gt;=D$2),IF('Phân công'!$L32="Xong","✓","■"),"")</f>
        <v/>
      </c>
      <c r="E33" s="13" t="str">
        <f>IF(AND('Phân công'!$C32&lt;=E$2+6,'Phân công'!$D32&gt;=E$2),IF('Phân công'!$L32="Xong","✓","■"),"")</f>
        <v/>
      </c>
      <c r="F33" s="13" t="str">
        <f>IF(AND('Phân công'!$C32&lt;=F$2+6,'Phân công'!$D32&gt;=F$2),IF('Phân công'!$L32="Xong","✓","■"),"")</f>
        <v/>
      </c>
      <c r="G33" s="13" t="str">
        <f>IF(AND('Phân công'!$C32&lt;=G$2+6,'Phân công'!$D32&gt;=G$2),IF('Phân công'!$L32="Xong","✓","■"),"")</f>
        <v/>
      </c>
      <c r="H33" s="13" t="str">
        <f>IF(AND('Phân công'!$C32&lt;=H$2+6,'Phân công'!$D32&gt;=H$2),IF('Phân công'!$L32="Xong","✓","■"),"")</f>
        <v/>
      </c>
      <c r="I33" s="13" t="str">
        <f>IF(AND('Phân công'!$C32&lt;=I$2+6,'Phân công'!$D32&gt;=I$2),IF('Phân công'!$L32="Xong","✓","■"),"")</f>
        <v/>
      </c>
      <c r="J33" s="13" t="str">
        <f>IF(AND('Phân công'!$C32&lt;=J$2+6,'Phân công'!$D32&gt;=J$2),IF('Phân công'!$L32="Xong","✓","■"),"")</f>
        <v/>
      </c>
      <c r="K33" s="13" t="str">
        <f>IF(AND('Phân công'!$C32&lt;=K$2+6,'Phân công'!$D32&gt;=K$2),IF('Phân công'!$L32="Xong","✓","■"),"")</f>
        <v/>
      </c>
      <c r="L33" s="13" t="str">
        <f>IF(AND('Phân công'!$C32&lt;=L$2+6,'Phân công'!$D32&gt;=L$2),IF('Phân công'!$L32="Xong","✓","■"),"")</f>
        <v>■</v>
      </c>
      <c r="M33" s="13" t="str">
        <f>IF(AND('Phân công'!$C32&lt;=M$2+6,'Phân công'!$D32&gt;=M$2),IF('Phân công'!$L32="Xong","✓","■"),"")</f>
        <v>■</v>
      </c>
      <c r="N33" s="13" t="str">
        <f>IF(AND('Phân công'!$C32&lt;=N$2+6,'Phân công'!$D32&gt;=N$2),IF('Phân công'!$L32="Xong","✓","■"),"")</f>
        <v/>
      </c>
      <c r="O33" s="13" t="str">
        <f>IF(AND('Phân công'!$C32&lt;=O$2+6,'Phân công'!$D32&gt;=O$2),IF('Phân công'!$L32="Xong","✓","■"),"")</f>
        <v/>
      </c>
      <c r="P33" s="13" t="str">
        <f>IF(AND('Phân công'!$C32&lt;=P$2+6,'Phân công'!$D32&gt;=P$2),IF('Phân công'!$L32="Xong","✓","■"),"")</f>
        <v/>
      </c>
      <c r="Q33" s="13" t="str">
        <f>IF(AND('Phân công'!$C32&lt;=Q$2+6,'Phân công'!$D32&gt;=Q$2),IF('Phân công'!$L32="Xong","✓","■"),"")</f>
        <v/>
      </c>
    </row>
    <row r="34" spans="1:17" x14ac:dyDescent="0.35">
      <c r="A34" s="11" t="str">
        <f>'Phân công'!A33</f>
        <v>T32</v>
      </c>
      <c r="B34" s="12" t="str">
        <f>'Phân công'!F33</f>
        <v>Giao diện chat Streamlit: câu trả lời, Cypher sinh ra, kết quả truy vấn</v>
      </c>
      <c r="C34" s="11" t="str">
        <f>'Phân công'!G33</f>
        <v>Khôi</v>
      </c>
      <c r="D34" s="13" t="str">
        <f>IF(AND('Phân công'!$C33&lt;=D$2+6,'Phân công'!$D33&gt;=D$2),IF('Phân công'!$L33="Xong","✓","■"),"")</f>
        <v/>
      </c>
      <c r="E34" s="13" t="str">
        <f>IF(AND('Phân công'!$C33&lt;=E$2+6,'Phân công'!$D33&gt;=E$2),IF('Phân công'!$L33="Xong","✓","■"),"")</f>
        <v/>
      </c>
      <c r="F34" s="13" t="str">
        <f>IF(AND('Phân công'!$C33&lt;=F$2+6,'Phân công'!$D33&gt;=F$2),IF('Phân công'!$L33="Xong","✓","■"),"")</f>
        <v/>
      </c>
      <c r="G34" s="13" t="str">
        <f>IF(AND('Phân công'!$C33&lt;=G$2+6,'Phân công'!$D33&gt;=G$2),IF('Phân công'!$L33="Xong","✓","■"),"")</f>
        <v/>
      </c>
      <c r="H34" s="13" t="str">
        <f>IF(AND('Phân công'!$C33&lt;=H$2+6,'Phân công'!$D33&gt;=H$2),IF('Phân công'!$L33="Xong","✓","■"),"")</f>
        <v/>
      </c>
      <c r="I34" s="13" t="str">
        <f>IF(AND('Phân công'!$C33&lt;=I$2+6,'Phân công'!$D33&gt;=I$2),IF('Phân công'!$L33="Xong","✓","■"),"")</f>
        <v/>
      </c>
      <c r="J34" s="13" t="str">
        <f>IF(AND('Phân công'!$C33&lt;=J$2+6,'Phân công'!$D33&gt;=J$2),IF('Phân công'!$L33="Xong","✓","■"),"")</f>
        <v/>
      </c>
      <c r="K34" s="13" t="str">
        <f>IF(AND('Phân công'!$C33&lt;=K$2+6,'Phân công'!$D33&gt;=K$2),IF('Phân công'!$L33="Xong","✓","■"),"")</f>
        <v/>
      </c>
      <c r="L34" s="13" t="str">
        <f>IF(AND('Phân công'!$C33&lt;=L$2+6,'Phân công'!$D33&gt;=L$2),IF('Phân công'!$L33="Xong","✓","■"),"")</f>
        <v/>
      </c>
      <c r="M34" s="13" t="str">
        <f>IF(AND('Phân công'!$C33&lt;=M$2+6,'Phân công'!$D33&gt;=M$2),IF('Phân công'!$L33="Xong","✓","■"),"")</f>
        <v/>
      </c>
      <c r="N34" s="13" t="str">
        <f>IF(AND('Phân công'!$C33&lt;=N$2+6,'Phân công'!$D33&gt;=N$2),IF('Phân công'!$L33="Xong","✓","■"),"")</f>
        <v>■</v>
      </c>
      <c r="O34" s="13" t="str">
        <f>IF(AND('Phân công'!$C33&lt;=O$2+6,'Phân công'!$D33&gt;=O$2),IF('Phân công'!$L33="Xong","✓","■"),"")</f>
        <v/>
      </c>
      <c r="P34" s="13" t="str">
        <f>IF(AND('Phân công'!$C33&lt;=P$2+6,'Phân công'!$D33&gt;=P$2),IF('Phân công'!$L33="Xong","✓","■"),"")</f>
        <v/>
      </c>
      <c r="Q34" s="13" t="str">
        <f>IF(AND('Phân công'!$C33&lt;=Q$2+6,'Phân công'!$D33&gt;=Q$2),IF('Phân công'!$L33="Xong","✓","■"),"")</f>
        <v/>
      </c>
    </row>
    <row r="35" spans="1:17" x14ac:dyDescent="0.35">
      <c r="A35" s="11" t="str">
        <f>'Phân công'!A34</f>
        <v>T33</v>
      </c>
      <c r="B35" s="12" t="str">
        <f>'Phân công'!F34</f>
        <v>E4: gán nhãn nhóm lỗi cho các câu sai của B1, Proposed, B3 theo bảng phân loại</v>
      </c>
      <c r="C35" s="11" t="str">
        <f>'Phân công'!G34</f>
        <v>Hương</v>
      </c>
      <c r="D35" s="13" t="str">
        <f>IF(AND('Phân công'!$C34&lt;=D$2+6,'Phân công'!$D34&gt;=D$2),IF('Phân công'!$L34="Xong","✓","■"),"")</f>
        <v/>
      </c>
      <c r="E35" s="13" t="str">
        <f>IF(AND('Phân công'!$C34&lt;=E$2+6,'Phân công'!$D34&gt;=E$2),IF('Phân công'!$L34="Xong","✓","■"),"")</f>
        <v/>
      </c>
      <c r="F35" s="13" t="str">
        <f>IF(AND('Phân công'!$C34&lt;=F$2+6,'Phân công'!$D34&gt;=F$2),IF('Phân công'!$L34="Xong","✓","■"),"")</f>
        <v/>
      </c>
      <c r="G35" s="13" t="str">
        <f>IF(AND('Phân công'!$C34&lt;=G$2+6,'Phân công'!$D34&gt;=G$2),IF('Phân công'!$L34="Xong","✓","■"),"")</f>
        <v/>
      </c>
      <c r="H35" s="13" t="str">
        <f>IF(AND('Phân công'!$C34&lt;=H$2+6,'Phân công'!$D34&gt;=H$2),IF('Phân công'!$L34="Xong","✓","■"),"")</f>
        <v/>
      </c>
      <c r="I35" s="13" t="str">
        <f>IF(AND('Phân công'!$C34&lt;=I$2+6,'Phân công'!$D34&gt;=I$2),IF('Phân công'!$L34="Xong","✓","■"),"")</f>
        <v/>
      </c>
      <c r="J35" s="13" t="str">
        <f>IF(AND('Phân công'!$C34&lt;=J$2+6,'Phân công'!$D34&gt;=J$2),IF('Phân công'!$L34="Xong","✓","■"),"")</f>
        <v/>
      </c>
      <c r="K35" s="13" t="str">
        <f>IF(AND('Phân công'!$C34&lt;=K$2+6,'Phân công'!$D34&gt;=K$2),IF('Phân công'!$L34="Xong","✓","■"),"")</f>
        <v/>
      </c>
      <c r="L35" s="13" t="str">
        <f>IF(AND('Phân công'!$C34&lt;=L$2+6,'Phân công'!$D34&gt;=L$2),IF('Phân công'!$L34="Xong","✓","■"),"")</f>
        <v/>
      </c>
      <c r="M35" s="13" t="str">
        <f>IF(AND('Phân công'!$C34&lt;=M$2+6,'Phân công'!$D34&gt;=M$2),IF('Phân công'!$L34="Xong","✓","■"),"")</f>
        <v/>
      </c>
      <c r="N35" s="13" t="str">
        <f>IF(AND('Phân công'!$C34&lt;=N$2+6,'Phân công'!$D34&gt;=N$2),IF('Phân công'!$L34="Xong","✓","■"),"")</f>
        <v>■</v>
      </c>
      <c r="O35" s="13" t="str">
        <f>IF(AND('Phân công'!$C34&lt;=O$2+6,'Phân công'!$D34&gt;=O$2),IF('Phân công'!$L34="Xong","✓","■"),"")</f>
        <v/>
      </c>
      <c r="P35" s="13" t="str">
        <f>IF(AND('Phân công'!$C34&lt;=P$2+6,'Phân công'!$D34&gt;=P$2),IF('Phân công'!$L34="Xong","✓","■"),"")</f>
        <v/>
      </c>
      <c r="Q35" s="13" t="str">
        <f>IF(AND('Phân công'!$C34&lt;=Q$2+6,'Phân công'!$D34&gt;=Q$2),IF('Phân công'!$L34="Xong","✓","■"),"")</f>
        <v/>
      </c>
    </row>
    <row r="36" spans="1:17" x14ac:dyDescent="0.35">
      <c r="A36" s="11" t="str">
        <f>'Phân công'!A35</f>
        <v>T34</v>
      </c>
      <c r="B36" s="12" t="str">
        <f>'Phân công'!F35</f>
        <v>E4: phân tích nguyên nhân kỹ thuật từng nhóm lỗi, đề xuất cải tiến</v>
      </c>
      <c r="C36" s="11" t="str">
        <f>'Phân công'!G35</f>
        <v>Ân</v>
      </c>
      <c r="D36" s="13" t="str">
        <f>IF(AND('Phân công'!$C35&lt;=D$2+6,'Phân công'!$D35&gt;=D$2),IF('Phân công'!$L35="Xong","✓","■"),"")</f>
        <v/>
      </c>
      <c r="E36" s="13" t="str">
        <f>IF(AND('Phân công'!$C35&lt;=E$2+6,'Phân công'!$D35&gt;=E$2),IF('Phân công'!$L35="Xong","✓","■"),"")</f>
        <v/>
      </c>
      <c r="F36" s="13" t="str">
        <f>IF(AND('Phân công'!$C35&lt;=F$2+6,'Phân công'!$D35&gt;=F$2),IF('Phân công'!$L35="Xong","✓","■"),"")</f>
        <v/>
      </c>
      <c r="G36" s="13" t="str">
        <f>IF(AND('Phân công'!$C35&lt;=G$2+6,'Phân công'!$D35&gt;=G$2),IF('Phân công'!$L35="Xong","✓","■"),"")</f>
        <v/>
      </c>
      <c r="H36" s="13" t="str">
        <f>IF(AND('Phân công'!$C35&lt;=H$2+6,'Phân công'!$D35&gt;=H$2),IF('Phân công'!$L35="Xong","✓","■"),"")</f>
        <v/>
      </c>
      <c r="I36" s="13" t="str">
        <f>IF(AND('Phân công'!$C35&lt;=I$2+6,'Phân công'!$D35&gt;=I$2),IF('Phân công'!$L35="Xong","✓","■"),"")</f>
        <v/>
      </c>
      <c r="J36" s="13" t="str">
        <f>IF(AND('Phân công'!$C35&lt;=J$2+6,'Phân công'!$D35&gt;=J$2),IF('Phân công'!$L35="Xong","✓","■"),"")</f>
        <v/>
      </c>
      <c r="K36" s="13" t="str">
        <f>IF(AND('Phân công'!$C35&lt;=K$2+6,'Phân công'!$D35&gt;=K$2),IF('Phân công'!$L35="Xong","✓","■"),"")</f>
        <v/>
      </c>
      <c r="L36" s="13" t="str">
        <f>IF(AND('Phân công'!$C35&lt;=L$2+6,'Phân công'!$D35&gt;=L$2),IF('Phân công'!$L35="Xong","✓","■"),"")</f>
        <v/>
      </c>
      <c r="M36" s="13" t="str">
        <f>IF(AND('Phân công'!$C35&lt;=M$2+6,'Phân công'!$D35&gt;=M$2),IF('Phân công'!$L35="Xong","✓","■"),"")</f>
        <v/>
      </c>
      <c r="N36" s="13" t="str">
        <f>IF(AND('Phân công'!$C35&lt;=N$2+6,'Phân công'!$D35&gt;=N$2),IF('Phân công'!$L35="Xong","✓","■"),"")</f>
        <v>■</v>
      </c>
      <c r="O36" s="13" t="str">
        <f>IF(AND('Phân công'!$C35&lt;=O$2+6,'Phân công'!$D35&gt;=O$2),IF('Phân công'!$L35="Xong","✓","■"),"")</f>
        <v/>
      </c>
      <c r="P36" s="13" t="str">
        <f>IF(AND('Phân công'!$C35&lt;=P$2+6,'Phân công'!$D35&gt;=P$2),IF('Phân công'!$L35="Xong","✓","■"),"")</f>
        <v/>
      </c>
      <c r="Q36" s="13" t="str">
        <f>IF(AND('Phân công'!$C35&lt;=Q$2+6,'Phân công'!$D35&gt;=Q$2),IF('Phân công'!$L35="Xong","✓","■"),"")</f>
        <v/>
      </c>
    </row>
    <row r="37" spans="1:17" x14ac:dyDescent="0.35">
      <c r="A37" s="11" t="str">
        <f>'Phân công'!A36</f>
        <v>T35</v>
      </c>
      <c r="B37" s="12" t="str">
        <f>'Phân công'!F36</f>
        <v>Chạy lại thí nghiệm lỗi, sửa bug, demo nội bộ (cả nhóm tham gia)</v>
      </c>
      <c r="C37" s="11" t="str">
        <f>'Phân công'!G36</f>
        <v>Bảo</v>
      </c>
      <c r="D37" s="13" t="str">
        <f>IF(AND('Phân công'!$C36&lt;=D$2+6,'Phân công'!$D36&gt;=D$2),IF('Phân công'!$L36="Xong","✓","■"),"")</f>
        <v/>
      </c>
      <c r="E37" s="13" t="str">
        <f>IF(AND('Phân công'!$C36&lt;=E$2+6,'Phân công'!$D36&gt;=E$2),IF('Phân công'!$L36="Xong","✓","■"),"")</f>
        <v/>
      </c>
      <c r="F37" s="13" t="str">
        <f>IF(AND('Phân công'!$C36&lt;=F$2+6,'Phân công'!$D36&gt;=F$2),IF('Phân công'!$L36="Xong","✓","■"),"")</f>
        <v/>
      </c>
      <c r="G37" s="13" t="str">
        <f>IF(AND('Phân công'!$C36&lt;=G$2+6,'Phân công'!$D36&gt;=G$2),IF('Phân công'!$L36="Xong","✓","■"),"")</f>
        <v/>
      </c>
      <c r="H37" s="13" t="str">
        <f>IF(AND('Phân công'!$C36&lt;=H$2+6,'Phân công'!$D36&gt;=H$2),IF('Phân công'!$L36="Xong","✓","■"),"")</f>
        <v/>
      </c>
      <c r="I37" s="13" t="str">
        <f>IF(AND('Phân công'!$C36&lt;=I$2+6,'Phân công'!$D36&gt;=I$2),IF('Phân công'!$L36="Xong","✓","■"),"")</f>
        <v/>
      </c>
      <c r="J37" s="13" t="str">
        <f>IF(AND('Phân công'!$C36&lt;=J$2+6,'Phân công'!$D36&gt;=J$2),IF('Phân công'!$L36="Xong","✓","■"),"")</f>
        <v/>
      </c>
      <c r="K37" s="13" t="str">
        <f>IF(AND('Phân công'!$C36&lt;=K$2+6,'Phân công'!$D36&gt;=K$2),IF('Phân công'!$L36="Xong","✓","■"),"")</f>
        <v/>
      </c>
      <c r="L37" s="13" t="str">
        <f>IF(AND('Phân công'!$C36&lt;=L$2+6,'Phân công'!$D36&gt;=L$2),IF('Phân công'!$L36="Xong","✓","■"),"")</f>
        <v/>
      </c>
      <c r="M37" s="13" t="str">
        <f>IF(AND('Phân công'!$C36&lt;=M$2+6,'Phân công'!$D36&gt;=M$2),IF('Phân công'!$L36="Xong","✓","■"),"")</f>
        <v/>
      </c>
      <c r="N37" s="13" t="str">
        <f>IF(AND('Phân công'!$C36&lt;=N$2+6,'Phân công'!$D36&gt;=N$2),IF('Phân công'!$L36="Xong","✓","■"),"")</f>
        <v/>
      </c>
      <c r="O37" s="13" t="str">
        <f>IF(AND('Phân công'!$C36&lt;=O$2+6,'Phân công'!$D36&gt;=O$2),IF('Phân công'!$L36="Xong","✓","■"),"")</f>
        <v>■</v>
      </c>
      <c r="P37" s="13" t="str">
        <f>IF(AND('Phân công'!$C36&lt;=P$2+6,'Phân công'!$D36&gt;=P$2),IF('Phân công'!$L36="Xong","✓","■"),"")</f>
        <v/>
      </c>
      <c r="Q37" s="13" t="str">
        <f>IF(AND('Phân công'!$C36&lt;=Q$2+6,'Phân công'!$D36&gt;=Q$2),IF('Phân công'!$L36="Xong","✓","■"),"")</f>
        <v/>
      </c>
    </row>
    <row r="38" spans="1:17" x14ac:dyDescent="0.35">
      <c r="A38" s="11" t="str">
        <f>'Phân công'!A37</f>
        <v>T36</v>
      </c>
      <c r="B38" s="12" t="str">
        <f>'Phân công'!F37</f>
        <v>Chủ trì biên tập báo cáo cuối kỳ và slide; thống nhất định dạng, trích dẫn</v>
      </c>
      <c r="C38" s="11" t="str">
        <f>'Phân công'!G37</f>
        <v>Hương</v>
      </c>
      <c r="D38" s="13" t="str">
        <f>IF(AND('Phân công'!$C37&lt;=D$2+6,'Phân công'!$D37&gt;=D$2),IF('Phân công'!$L37="Xong","✓","■"),"")</f>
        <v/>
      </c>
      <c r="E38" s="13" t="str">
        <f>IF(AND('Phân công'!$C37&lt;=E$2+6,'Phân công'!$D37&gt;=E$2),IF('Phân công'!$L37="Xong","✓","■"),"")</f>
        <v/>
      </c>
      <c r="F38" s="13" t="str">
        <f>IF(AND('Phân công'!$C37&lt;=F$2+6,'Phân công'!$D37&gt;=F$2),IF('Phân công'!$L37="Xong","✓","■"),"")</f>
        <v/>
      </c>
      <c r="G38" s="13" t="str">
        <f>IF(AND('Phân công'!$C37&lt;=G$2+6,'Phân công'!$D37&gt;=G$2),IF('Phân công'!$L37="Xong","✓","■"),"")</f>
        <v/>
      </c>
      <c r="H38" s="13" t="str">
        <f>IF(AND('Phân công'!$C37&lt;=H$2+6,'Phân công'!$D37&gt;=H$2),IF('Phân công'!$L37="Xong","✓","■"),"")</f>
        <v/>
      </c>
      <c r="I38" s="13" t="str">
        <f>IF(AND('Phân công'!$C37&lt;=I$2+6,'Phân công'!$D37&gt;=I$2),IF('Phân công'!$L37="Xong","✓","■"),"")</f>
        <v/>
      </c>
      <c r="J38" s="13" t="str">
        <f>IF(AND('Phân công'!$C37&lt;=J$2+6,'Phân công'!$D37&gt;=J$2),IF('Phân công'!$L37="Xong","✓","■"),"")</f>
        <v/>
      </c>
      <c r="K38" s="13" t="str">
        <f>IF(AND('Phân công'!$C37&lt;=K$2+6,'Phân công'!$D37&gt;=K$2),IF('Phân công'!$L37="Xong","✓","■"),"")</f>
        <v/>
      </c>
      <c r="L38" s="13" t="str">
        <f>IF(AND('Phân công'!$C37&lt;=L$2+6,'Phân công'!$D37&gt;=L$2),IF('Phân công'!$L37="Xong","✓","■"),"")</f>
        <v/>
      </c>
      <c r="M38" s="13" t="str">
        <f>IF(AND('Phân công'!$C37&lt;=M$2+6,'Phân công'!$D37&gt;=M$2),IF('Phân công'!$L37="Xong","✓","■"),"")</f>
        <v/>
      </c>
      <c r="N38" s="13" t="str">
        <f>IF(AND('Phân công'!$C37&lt;=N$2+6,'Phân công'!$D37&gt;=N$2),IF('Phân công'!$L37="Xong","✓","■"),"")</f>
        <v/>
      </c>
      <c r="O38" s="13" t="str">
        <f>IF(AND('Phân công'!$C37&lt;=O$2+6,'Phân công'!$D37&gt;=O$2),IF('Phân công'!$L37="Xong","✓","■"),"")</f>
        <v/>
      </c>
      <c r="P38" s="13" t="str">
        <f>IF(AND('Phân công'!$C37&lt;=P$2+6,'Phân công'!$D37&gt;=P$2),IF('Phân công'!$L37="Xong","✓","■"),"")</f>
        <v>■</v>
      </c>
      <c r="Q38" s="13" t="str">
        <f>IF(AND('Phân công'!$C37&lt;=Q$2+6,'Phân công'!$D37&gt;=Q$2),IF('Phân công'!$L37="Xong","✓","■"),"")</f>
        <v>■</v>
      </c>
    </row>
    <row r="39" spans="1:17" x14ac:dyDescent="0.35">
      <c r="A39" s="11" t="str">
        <f>'Phân công'!A38</f>
        <v>T37</v>
      </c>
      <c r="B39" s="12" t="str">
        <f>'Phân công'!F38</f>
        <v>Viết mục Method/Experiments và kết luận</v>
      </c>
      <c r="C39" s="11" t="str">
        <f>'Phân công'!G38</f>
        <v>Bảo</v>
      </c>
      <c r="D39" s="13" t="str">
        <f>IF(AND('Phân công'!$C38&lt;=D$2+6,'Phân công'!$D38&gt;=D$2),IF('Phân công'!$L38="Xong","✓","■"),"")</f>
        <v/>
      </c>
      <c r="E39" s="13" t="str">
        <f>IF(AND('Phân công'!$C38&lt;=E$2+6,'Phân công'!$D38&gt;=E$2),IF('Phân công'!$L38="Xong","✓","■"),"")</f>
        <v/>
      </c>
      <c r="F39" s="13" t="str">
        <f>IF(AND('Phân công'!$C38&lt;=F$2+6,'Phân công'!$D38&gt;=F$2),IF('Phân công'!$L38="Xong","✓","■"),"")</f>
        <v/>
      </c>
      <c r="G39" s="13" t="str">
        <f>IF(AND('Phân công'!$C38&lt;=G$2+6,'Phân công'!$D38&gt;=G$2),IF('Phân công'!$L38="Xong","✓","■"),"")</f>
        <v/>
      </c>
      <c r="H39" s="13" t="str">
        <f>IF(AND('Phân công'!$C38&lt;=H$2+6,'Phân công'!$D38&gt;=H$2),IF('Phân công'!$L38="Xong","✓","■"),"")</f>
        <v/>
      </c>
      <c r="I39" s="13" t="str">
        <f>IF(AND('Phân công'!$C38&lt;=I$2+6,'Phân công'!$D38&gt;=I$2),IF('Phân công'!$L38="Xong","✓","■"),"")</f>
        <v/>
      </c>
      <c r="J39" s="13" t="str">
        <f>IF(AND('Phân công'!$C38&lt;=J$2+6,'Phân công'!$D38&gt;=J$2),IF('Phân công'!$L38="Xong","✓","■"),"")</f>
        <v/>
      </c>
      <c r="K39" s="13" t="str">
        <f>IF(AND('Phân công'!$C38&lt;=K$2+6,'Phân công'!$D38&gt;=K$2),IF('Phân công'!$L38="Xong","✓","■"),"")</f>
        <v/>
      </c>
      <c r="L39" s="13" t="str">
        <f>IF(AND('Phân công'!$C38&lt;=L$2+6,'Phân công'!$D38&gt;=L$2),IF('Phân công'!$L38="Xong","✓","■"),"")</f>
        <v/>
      </c>
      <c r="M39" s="13" t="str">
        <f>IF(AND('Phân công'!$C38&lt;=M$2+6,'Phân công'!$D38&gt;=M$2),IF('Phân công'!$L38="Xong","✓","■"),"")</f>
        <v/>
      </c>
      <c r="N39" s="13" t="str">
        <f>IF(AND('Phân công'!$C38&lt;=N$2+6,'Phân công'!$D38&gt;=N$2),IF('Phân công'!$L38="Xong","✓","■"),"")</f>
        <v/>
      </c>
      <c r="O39" s="13" t="str">
        <f>IF(AND('Phân công'!$C38&lt;=O$2+6,'Phân công'!$D38&gt;=O$2),IF('Phân công'!$L38="Xong","✓","■"),"")</f>
        <v/>
      </c>
      <c r="P39" s="13" t="str">
        <f>IF(AND('Phân công'!$C38&lt;=P$2+6,'Phân công'!$D38&gt;=P$2),IF('Phân công'!$L38="Xong","✓","■"),"")</f>
        <v>■</v>
      </c>
      <c r="Q39" s="13" t="str">
        <f>IF(AND('Phân công'!$C38&lt;=Q$2+6,'Phân công'!$D38&gt;=Q$2),IF('Phân công'!$L38="Xong","✓","■"),"")</f>
        <v>■</v>
      </c>
    </row>
    <row r="40" spans="1:17" x14ac:dyDescent="0.35">
      <c r="A40" s="11" t="str">
        <f>'Phân công'!A39</f>
        <v>T38</v>
      </c>
      <c r="B40" s="12" t="str">
        <f>'Phân công'!F39</f>
        <v>Viết mục báo cáo cho phần mình phụ trách (B0, B2, C, E3)</v>
      </c>
      <c r="C40" s="11" t="str">
        <f>'Phân công'!G39</f>
        <v>Vũ</v>
      </c>
      <c r="D40" s="13" t="str">
        <f>IF(AND('Phân công'!$C39&lt;=D$2+6,'Phân công'!$D39&gt;=D$2),IF('Phân công'!$L39="Xong","✓","■"),"")</f>
        <v/>
      </c>
      <c r="E40" s="13" t="str">
        <f>IF(AND('Phân công'!$C39&lt;=E$2+6,'Phân công'!$D39&gt;=E$2),IF('Phân công'!$L39="Xong","✓","■"),"")</f>
        <v/>
      </c>
      <c r="F40" s="13" t="str">
        <f>IF(AND('Phân công'!$C39&lt;=F$2+6,'Phân công'!$D39&gt;=F$2),IF('Phân công'!$L39="Xong","✓","■"),"")</f>
        <v/>
      </c>
      <c r="G40" s="13" t="str">
        <f>IF(AND('Phân công'!$C39&lt;=G$2+6,'Phân công'!$D39&gt;=G$2),IF('Phân công'!$L39="Xong","✓","■"),"")</f>
        <v/>
      </c>
      <c r="H40" s="13" t="str">
        <f>IF(AND('Phân công'!$C39&lt;=H$2+6,'Phân công'!$D39&gt;=H$2),IF('Phân công'!$L39="Xong","✓","■"),"")</f>
        <v/>
      </c>
      <c r="I40" s="13" t="str">
        <f>IF(AND('Phân công'!$C39&lt;=I$2+6,'Phân công'!$D39&gt;=I$2),IF('Phân công'!$L39="Xong","✓","■"),"")</f>
        <v/>
      </c>
      <c r="J40" s="13" t="str">
        <f>IF(AND('Phân công'!$C39&lt;=J$2+6,'Phân công'!$D39&gt;=J$2),IF('Phân công'!$L39="Xong","✓","■"),"")</f>
        <v/>
      </c>
      <c r="K40" s="13" t="str">
        <f>IF(AND('Phân công'!$C39&lt;=K$2+6,'Phân công'!$D39&gt;=K$2),IF('Phân công'!$L39="Xong","✓","■"),"")</f>
        <v/>
      </c>
      <c r="L40" s="13" t="str">
        <f>IF(AND('Phân công'!$C39&lt;=L$2+6,'Phân công'!$D39&gt;=L$2),IF('Phân công'!$L39="Xong","✓","■"),"")</f>
        <v/>
      </c>
      <c r="M40" s="13" t="str">
        <f>IF(AND('Phân công'!$C39&lt;=M$2+6,'Phân công'!$D39&gt;=M$2),IF('Phân công'!$L39="Xong","✓","■"),"")</f>
        <v/>
      </c>
      <c r="N40" s="13" t="str">
        <f>IF(AND('Phân công'!$C39&lt;=N$2+6,'Phân công'!$D39&gt;=N$2),IF('Phân công'!$L39="Xong","✓","■"),"")</f>
        <v/>
      </c>
      <c r="O40" s="13" t="str">
        <f>IF(AND('Phân công'!$C39&lt;=O$2+6,'Phân công'!$D39&gt;=O$2),IF('Phân công'!$L39="Xong","✓","■"),"")</f>
        <v/>
      </c>
      <c r="P40" s="13" t="str">
        <f>IF(AND('Phân công'!$C39&lt;=P$2+6,'Phân công'!$D39&gt;=P$2),IF('Phân công'!$L39="Xong","✓","■"),"")</f>
        <v>■</v>
      </c>
      <c r="Q40" s="13" t="str">
        <f>IF(AND('Phân công'!$C39&lt;=Q$2+6,'Phân công'!$D39&gt;=Q$2),IF('Phân công'!$L39="Xong","✓","■"),"")</f>
        <v>■</v>
      </c>
    </row>
    <row r="41" spans="1:17" x14ac:dyDescent="0.35">
      <c r="A41" s="11" t="str">
        <f>'Phân công'!A40</f>
        <v>T39</v>
      </c>
      <c r="B41" s="12" t="str">
        <f>'Phân công'!F40</f>
        <v>Viết mục báo cáo cho phần mình phụ trách (D, tích hợp, E1, B3)</v>
      </c>
      <c r="C41" s="11" t="str">
        <f>'Phân công'!G40</f>
        <v>Bằng</v>
      </c>
      <c r="D41" s="13" t="str">
        <f>IF(AND('Phân công'!$C40&lt;=D$2+6,'Phân công'!$D40&gt;=D$2),IF('Phân công'!$L40="Xong","✓","■"),"")</f>
        <v/>
      </c>
      <c r="E41" s="13" t="str">
        <f>IF(AND('Phân công'!$C40&lt;=E$2+6,'Phân công'!$D40&gt;=E$2),IF('Phân công'!$L40="Xong","✓","■"),"")</f>
        <v/>
      </c>
      <c r="F41" s="13" t="str">
        <f>IF(AND('Phân công'!$C40&lt;=F$2+6,'Phân công'!$D40&gt;=F$2),IF('Phân công'!$L40="Xong","✓","■"),"")</f>
        <v/>
      </c>
      <c r="G41" s="13" t="str">
        <f>IF(AND('Phân công'!$C40&lt;=G$2+6,'Phân công'!$D40&gt;=G$2),IF('Phân công'!$L40="Xong","✓","■"),"")</f>
        <v/>
      </c>
      <c r="H41" s="13" t="str">
        <f>IF(AND('Phân công'!$C40&lt;=H$2+6,'Phân công'!$D40&gt;=H$2),IF('Phân công'!$L40="Xong","✓","■"),"")</f>
        <v/>
      </c>
      <c r="I41" s="13" t="str">
        <f>IF(AND('Phân công'!$C40&lt;=I$2+6,'Phân công'!$D40&gt;=I$2),IF('Phân công'!$L40="Xong","✓","■"),"")</f>
        <v/>
      </c>
      <c r="J41" s="13" t="str">
        <f>IF(AND('Phân công'!$C40&lt;=J$2+6,'Phân công'!$D40&gt;=J$2),IF('Phân công'!$L40="Xong","✓","■"),"")</f>
        <v/>
      </c>
      <c r="K41" s="13" t="str">
        <f>IF(AND('Phân công'!$C40&lt;=K$2+6,'Phân công'!$D40&gt;=K$2),IF('Phân công'!$L40="Xong","✓","■"),"")</f>
        <v/>
      </c>
      <c r="L41" s="13" t="str">
        <f>IF(AND('Phân công'!$C40&lt;=L$2+6,'Phân công'!$D40&gt;=L$2),IF('Phân công'!$L40="Xong","✓","■"),"")</f>
        <v/>
      </c>
      <c r="M41" s="13" t="str">
        <f>IF(AND('Phân công'!$C40&lt;=M$2+6,'Phân công'!$D40&gt;=M$2),IF('Phân công'!$L40="Xong","✓","■"),"")</f>
        <v/>
      </c>
      <c r="N41" s="13" t="str">
        <f>IF(AND('Phân công'!$C40&lt;=N$2+6,'Phân công'!$D40&gt;=N$2),IF('Phân công'!$L40="Xong","✓","■"),"")</f>
        <v/>
      </c>
      <c r="O41" s="13" t="str">
        <f>IF(AND('Phân công'!$C40&lt;=O$2+6,'Phân công'!$D40&gt;=O$2),IF('Phân công'!$L40="Xong","✓","■"),"")</f>
        <v/>
      </c>
      <c r="P41" s="13" t="str">
        <f>IF(AND('Phân công'!$C40&lt;=P$2+6,'Phân công'!$D40&gt;=P$2),IF('Phân công'!$L40="Xong","✓","■"),"")</f>
        <v>■</v>
      </c>
      <c r="Q41" s="13" t="str">
        <f>IF(AND('Phân công'!$C40&lt;=Q$2+6,'Phân công'!$D40&gt;=Q$2),IF('Phân công'!$L40="Xong","✓","■"),"")</f>
        <v>■</v>
      </c>
    </row>
    <row r="42" spans="1:17" x14ac:dyDescent="0.35">
      <c r="A42" s="11" t="str">
        <f>'Phân công'!A41</f>
        <v>T40</v>
      </c>
      <c r="B42" s="12" t="str">
        <f>'Phân công'!F41</f>
        <v>Viết mục báo cáo cho phần mình phụ trách (B, E2, E4)</v>
      </c>
      <c r="C42" s="11" t="str">
        <f>'Phân công'!G41</f>
        <v>Ân</v>
      </c>
      <c r="D42" s="13" t="str">
        <f>IF(AND('Phân công'!$C41&lt;=D$2+6,'Phân công'!$D41&gt;=D$2),IF('Phân công'!$L41="Xong","✓","■"),"")</f>
        <v/>
      </c>
      <c r="E42" s="13" t="str">
        <f>IF(AND('Phân công'!$C41&lt;=E$2+6,'Phân công'!$D41&gt;=E$2),IF('Phân công'!$L41="Xong","✓","■"),"")</f>
        <v/>
      </c>
      <c r="F42" s="13" t="str">
        <f>IF(AND('Phân công'!$C41&lt;=F$2+6,'Phân công'!$D41&gt;=F$2),IF('Phân công'!$L41="Xong","✓","■"),"")</f>
        <v/>
      </c>
      <c r="G42" s="13" t="str">
        <f>IF(AND('Phân công'!$C41&lt;=G$2+6,'Phân công'!$D41&gt;=G$2),IF('Phân công'!$L41="Xong","✓","■"),"")</f>
        <v/>
      </c>
      <c r="H42" s="13" t="str">
        <f>IF(AND('Phân công'!$C41&lt;=H$2+6,'Phân công'!$D41&gt;=H$2),IF('Phân công'!$L41="Xong","✓","■"),"")</f>
        <v/>
      </c>
      <c r="I42" s="13" t="str">
        <f>IF(AND('Phân công'!$C41&lt;=I$2+6,'Phân công'!$D41&gt;=I$2),IF('Phân công'!$L41="Xong","✓","■"),"")</f>
        <v/>
      </c>
      <c r="J42" s="13" t="str">
        <f>IF(AND('Phân công'!$C41&lt;=J$2+6,'Phân công'!$D41&gt;=J$2),IF('Phân công'!$L41="Xong","✓","■"),"")</f>
        <v/>
      </c>
      <c r="K42" s="13" t="str">
        <f>IF(AND('Phân công'!$C41&lt;=K$2+6,'Phân công'!$D41&gt;=K$2),IF('Phân công'!$L41="Xong","✓","■"),"")</f>
        <v/>
      </c>
      <c r="L42" s="13" t="str">
        <f>IF(AND('Phân công'!$C41&lt;=L$2+6,'Phân công'!$D41&gt;=L$2),IF('Phân công'!$L41="Xong","✓","■"),"")</f>
        <v/>
      </c>
      <c r="M42" s="13" t="str">
        <f>IF(AND('Phân công'!$C41&lt;=M$2+6,'Phân công'!$D41&gt;=M$2),IF('Phân công'!$L41="Xong","✓","■"),"")</f>
        <v/>
      </c>
      <c r="N42" s="13" t="str">
        <f>IF(AND('Phân công'!$C41&lt;=N$2+6,'Phân công'!$D41&gt;=N$2),IF('Phân công'!$L41="Xong","✓","■"),"")</f>
        <v/>
      </c>
      <c r="O42" s="13" t="str">
        <f>IF(AND('Phân công'!$C41&lt;=O$2+6,'Phân công'!$D41&gt;=O$2),IF('Phân công'!$L41="Xong","✓","■"),"")</f>
        <v/>
      </c>
      <c r="P42" s="13" t="str">
        <f>IF(AND('Phân công'!$C41&lt;=P$2+6,'Phân công'!$D41&gt;=P$2),IF('Phân công'!$L41="Xong","✓","■"),"")</f>
        <v>■</v>
      </c>
      <c r="Q42" s="13" t="str">
        <f>IF(AND('Phân công'!$C41&lt;=Q$2+6,'Phân công'!$D41&gt;=Q$2),IF('Phân công'!$L41="Xong","✓","■"),"")</f>
        <v>■</v>
      </c>
    </row>
    <row r="43" spans="1:17" x14ac:dyDescent="0.35">
      <c r="A43" s="11" t="str">
        <f>'Phân công'!A42</f>
        <v>T41</v>
      </c>
      <c r="B43" s="12" t="str">
        <f>'Phân công'!F42</f>
        <v>Viết mục báo cáo cho phần mình phụ trách (A, giao diện)</v>
      </c>
      <c r="C43" s="11" t="str">
        <f>'Phân công'!G42</f>
        <v>Khôi</v>
      </c>
      <c r="D43" s="13" t="str">
        <f>IF(AND('Phân công'!$C42&lt;=D$2+6,'Phân công'!$D42&gt;=D$2),IF('Phân công'!$L42="Xong","✓","■"),"")</f>
        <v/>
      </c>
      <c r="E43" s="13" t="str">
        <f>IF(AND('Phân công'!$C42&lt;=E$2+6,'Phân công'!$D42&gt;=E$2),IF('Phân công'!$L42="Xong","✓","■"),"")</f>
        <v/>
      </c>
      <c r="F43" s="13" t="str">
        <f>IF(AND('Phân công'!$C42&lt;=F$2+6,'Phân công'!$D42&gt;=F$2),IF('Phân công'!$L42="Xong","✓","■"),"")</f>
        <v/>
      </c>
      <c r="G43" s="13" t="str">
        <f>IF(AND('Phân công'!$C42&lt;=G$2+6,'Phân công'!$D42&gt;=G$2),IF('Phân công'!$L42="Xong","✓","■"),"")</f>
        <v/>
      </c>
      <c r="H43" s="13" t="str">
        <f>IF(AND('Phân công'!$C42&lt;=H$2+6,'Phân công'!$D42&gt;=H$2),IF('Phân công'!$L42="Xong","✓","■"),"")</f>
        <v/>
      </c>
      <c r="I43" s="13" t="str">
        <f>IF(AND('Phân công'!$C42&lt;=I$2+6,'Phân công'!$D42&gt;=I$2),IF('Phân công'!$L42="Xong","✓","■"),"")</f>
        <v/>
      </c>
      <c r="J43" s="13" t="str">
        <f>IF(AND('Phân công'!$C42&lt;=J$2+6,'Phân công'!$D42&gt;=J$2),IF('Phân công'!$L42="Xong","✓","■"),"")</f>
        <v/>
      </c>
      <c r="K43" s="13" t="str">
        <f>IF(AND('Phân công'!$C42&lt;=K$2+6,'Phân công'!$D42&gt;=K$2),IF('Phân công'!$L42="Xong","✓","■"),"")</f>
        <v/>
      </c>
      <c r="L43" s="13" t="str">
        <f>IF(AND('Phân công'!$C42&lt;=L$2+6,'Phân công'!$D42&gt;=L$2),IF('Phân công'!$L42="Xong","✓","■"),"")</f>
        <v/>
      </c>
      <c r="M43" s="13" t="str">
        <f>IF(AND('Phân công'!$C42&lt;=M$2+6,'Phân công'!$D42&gt;=M$2),IF('Phân công'!$L42="Xong","✓","■"),"")</f>
        <v/>
      </c>
      <c r="N43" s="13" t="str">
        <f>IF(AND('Phân công'!$C42&lt;=N$2+6,'Phân công'!$D42&gt;=N$2),IF('Phân công'!$L42="Xong","✓","■"),"")</f>
        <v/>
      </c>
      <c r="O43" s="13" t="str">
        <f>IF(AND('Phân công'!$C42&lt;=O$2+6,'Phân công'!$D42&gt;=O$2),IF('Phân công'!$L42="Xong","✓","■"),"")</f>
        <v/>
      </c>
      <c r="P43" s="13" t="str">
        <f>IF(AND('Phân công'!$C42&lt;=P$2+6,'Phân công'!$D42&gt;=P$2),IF('Phân công'!$L42="Xong","✓","■"),"")</f>
        <v>■</v>
      </c>
      <c r="Q43" s="13" t="str">
        <f>IF(AND('Phân công'!$C42&lt;=Q$2+6,'Phân công'!$D42&gt;=Q$2),IF('Phân công'!$L42="Xong","✓","■"),"")</f>
        <v>■</v>
      </c>
    </row>
    <row r="44" spans="1:17" x14ac:dyDescent="0.35">
      <c r="A44" s="11" t="str">
        <f>'Phân công'!A43</f>
        <v>T42</v>
      </c>
      <c r="B44" s="12" t="str">
        <f>'Phân công'!F43</f>
        <v>Dọn mã nguồn, README hướng dẫn tái lập thí nghiệm</v>
      </c>
      <c r="C44" s="11" t="str">
        <f>'Phân công'!G43</f>
        <v>Vũ</v>
      </c>
      <c r="D44" s="13" t="str">
        <f>IF(AND('Phân công'!$C43&lt;=D$2+6,'Phân công'!$D43&gt;=D$2),IF('Phân công'!$L43="Xong","✓","■"),"")</f>
        <v/>
      </c>
      <c r="E44" s="13" t="str">
        <f>IF(AND('Phân công'!$C43&lt;=E$2+6,'Phân công'!$D43&gt;=E$2),IF('Phân công'!$L43="Xong","✓","■"),"")</f>
        <v/>
      </c>
      <c r="F44" s="13" t="str">
        <f>IF(AND('Phân công'!$C43&lt;=F$2+6,'Phân công'!$D43&gt;=F$2),IF('Phân công'!$L43="Xong","✓","■"),"")</f>
        <v/>
      </c>
      <c r="G44" s="13" t="str">
        <f>IF(AND('Phân công'!$C43&lt;=G$2+6,'Phân công'!$D43&gt;=G$2),IF('Phân công'!$L43="Xong","✓","■"),"")</f>
        <v/>
      </c>
      <c r="H44" s="13" t="str">
        <f>IF(AND('Phân công'!$C43&lt;=H$2+6,'Phân công'!$D43&gt;=H$2),IF('Phân công'!$L43="Xong","✓","■"),"")</f>
        <v/>
      </c>
      <c r="I44" s="13" t="str">
        <f>IF(AND('Phân công'!$C43&lt;=I$2+6,'Phân công'!$D43&gt;=I$2),IF('Phân công'!$L43="Xong","✓","■"),"")</f>
        <v/>
      </c>
      <c r="J44" s="13" t="str">
        <f>IF(AND('Phân công'!$C43&lt;=J$2+6,'Phân công'!$D43&gt;=J$2),IF('Phân công'!$L43="Xong","✓","■"),"")</f>
        <v/>
      </c>
      <c r="K44" s="13" t="str">
        <f>IF(AND('Phân công'!$C43&lt;=K$2+6,'Phân công'!$D43&gt;=K$2),IF('Phân công'!$L43="Xong","✓","■"),"")</f>
        <v/>
      </c>
      <c r="L44" s="13" t="str">
        <f>IF(AND('Phân công'!$C43&lt;=L$2+6,'Phân công'!$D43&gt;=L$2),IF('Phân công'!$L43="Xong","✓","■"),"")</f>
        <v/>
      </c>
      <c r="M44" s="13" t="str">
        <f>IF(AND('Phân công'!$C43&lt;=M$2+6,'Phân công'!$D43&gt;=M$2),IF('Phân công'!$L43="Xong","✓","■"),"")</f>
        <v/>
      </c>
      <c r="N44" s="13" t="str">
        <f>IF(AND('Phân công'!$C43&lt;=N$2+6,'Phân công'!$D43&gt;=N$2),IF('Phân công'!$L43="Xong","✓","■"),"")</f>
        <v/>
      </c>
      <c r="O44" s="13" t="str">
        <f>IF(AND('Phân công'!$C43&lt;=O$2+6,'Phân công'!$D43&gt;=O$2),IF('Phân công'!$L43="Xong","✓","■"),"")</f>
        <v/>
      </c>
      <c r="P44" s="13" t="str">
        <f>IF(AND('Phân công'!$C43&lt;=P$2+6,'Phân công'!$D43&gt;=P$2),IF('Phân công'!$L43="Xong","✓","■"),"")</f>
        <v>■</v>
      </c>
      <c r="Q44" s="13" t="str">
        <f>IF(AND('Phân công'!$C43&lt;=Q$2+6,'Phân công'!$D43&gt;=Q$2),IF('Phân công'!$L43="Xong","✓","■"),"")</f>
        <v>■</v>
      </c>
    </row>
    <row r="45" spans="1:17" x14ac:dyDescent="0.35">
      <c r="A45" s="11" t="str">
        <f>'Phân công'!A44</f>
        <v>T43</v>
      </c>
      <c r="B45" s="12" t="str">
        <f>'Phân công'!F44</f>
        <v>Chuẩn bị demo trực tiếp và video demo dự phòng</v>
      </c>
      <c r="C45" s="11" t="str">
        <f>'Phân công'!G44</f>
        <v>Khôi</v>
      </c>
      <c r="D45" s="13" t="str">
        <f>IF(AND('Phân công'!$C44&lt;=D$2+6,'Phân công'!$D44&gt;=D$2),IF('Phân công'!$L44="Xong","✓","■"),"")</f>
        <v/>
      </c>
      <c r="E45" s="13" t="str">
        <f>IF(AND('Phân công'!$C44&lt;=E$2+6,'Phân công'!$D44&gt;=E$2),IF('Phân công'!$L44="Xong","✓","■"),"")</f>
        <v/>
      </c>
      <c r="F45" s="13" t="str">
        <f>IF(AND('Phân công'!$C44&lt;=F$2+6,'Phân công'!$D44&gt;=F$2),IF('Phân công'!$L44="Xong","✓","■"),"")</f>
        <v/>
      </c>
      <c r="G45" s="13" t="str">
        <f>IF(AND('Phân công'!$C44&lt;=G$2+6,'Phân công'!$D44&gt;=G$2),IF('Phân công'!$L44="Xong","✓","■"),"")</f>
        <v/>
      </c>
      <c r="H45" s="13" t="str">
        <f>IF(AND('Phân công'!$C44&lt;=H$2+6,'Phân công'!$D44&gt;=H$2),IF('Phân công'!$L44="Xong","✓","■"),"")</f>
        <v/>
      </c>
      <c r="I45" s="13" t="str">
        <f>IF(AND('Phân công'!$C44&lt;=I$2+6,'Phân công'!$D44&gt;=I$2),IF('Phân công'!$L44="Xong","✓","■"),"")</f>
        <v/>
      </c>
      <c r="J45" s="13" t="str">
        <f>IF(AND('Phân công'!$C44&lt;=J$2+6,'Phân công'!$D44&gt;=J$2),IF('Phân công'!$L44="Xong","✓","■"),"")</f>
        <v/>
      </c>
      <c r="K45" s="13" t="str">
        <f>IF(AND('Phân công'!$C44&lt;=K$2+6,'Phân công'!$D44&gt;=K$2),IF('Phân công'!$L44="Xong","✓","■"),"")</f>
        <v/>
      </c>
      <c r="L45" s="13" t="str">
        <f>IF(AND('Phân công'!$C44&lt;=L$2+6,'Phân công'!$D44&gt;=L$2),IF('Phân công'!$L44="Xong","✓","■"),"")</f>
        <v/>
      </c>
      <c r="M45" s="13" t="str">
        <f>IF(AND('Phân công'!$C44&lt;=M$2+6,'Phân công'!$D44&gt;=M$2),IF('Phân công'!$L44="Xong","✓","■"),"")</f>
        <v/>
      </c>
      <c r="N45" s="13" t="str">
        <f>IF(AND('Phân công'!$C44&lt;=N$2+6,'Phân công'!$D44&gt;=N$2),IF('Phân công'!$L44="Xong","✓","■"),"")</f>
        <v/>
      </c>
      <c r="O45" s="13" t="str">
        <f>IF(AND('Phân công'!$C44&lt;=O$2+6,'Phân công'!$D44&gt;=O$2),IF('Phân công'!$L44="Xong","✓","■"),"")</f>
        <v/>
      </c>
      <c r="P45" s="13" t="str">
        <f>IF(AND('Phân công'!$C44&lt;=P$2+6,'Phân công'!$D44&gt;=P$2),IF('Phân công'!$L44="Xong","✓","■"),"")</f>
        <v>■</v>
      </c>
      <c r="Q45" s="13" t="str">
        <f>IF(AND('Phân công'!$C44&lt;=Q$2+6,'Phân công'!$D44&gt;=Q$2),IF('Phân công'!$L44="Xong","✓","■"),"")</f>
        <v>■</v>
      </c>
    </row>
    <row r="47" spans="1:17" x14ac:dyDescent="0.35">
      <c r="B47" s="3" t="s">
        <v>202</v>
      </c>
    </row>
    <row r="48" spans="1:17" x14ac:dyDescent="0.35">
      <c r="B48" s="2" t="s">
        <v>203</v>
      </c>
      <c r="C48" s="14" t="s">
        <v>33</v>
      </c>
    </row>
    <row r="49" spans="2:3" x14ac:dyDescent="0.35">
      <c r="B49" s="2" t="s">
        <v>204</v>
      </c>
      <c r="C49" s="15" t="s">
        <v>72</v>
      </c>
    </row>
    <row r="50" spans="2:3" x14ac:dyDescent="0.35">
      <c r="B50" s="2" t="s">
        <v>205</v>
      </c>
      <c r="C50" s="16" t="s">
        <v>71</v>
      </c>
    </row>
    <row r="51" spans="2:3" x14ac:dyDescent="0.35">
      <c r="B51" s="2" t="s">
        <v>206</v>
      </c>
      <c r="C51" s="17" t="s">
        <v>46</v>
      </c>
    </row>
    <row r="52" spans="2:3" x14ac:dyDescent="0.35">
      <c r="B52" s="2" t="s">
        <v>207</v>
      </c>
      <c r="C52" s="18" t="s">
        <v>66</v>
      </c>
    </row>
    <row r="53" spans="2:3" x14ac:dyDescent="0.35">
      <c r="B53" s="2" t="s">
        <v>208</v>
      </c>
      <c r="C53" s="19" t="s">
        <v>56</v>
      </c>
    </row>
  </sheetData>
  <conditionalFormatting sqref="D3:Q45">
    <cfRule type="expression" dxfId="5" priority="1">
      <formula>AND(D3&lt;&gt;"",$C3="Bảo")</formula>
    </cfRule>
    <cfRule type="expression" dxfId="4" priority="2">
      <formula>AND(D3&lt;&gt;"",$C3="Vũ")</formula>
    </cfRule>
    <cfRule type="expression" dxfId="3" priority="3">
      <formula>AND(D3&lt;&gt;"",$C3="Bằng")</formula>
    </cfRule>
    <cfRule type="expression" dxfId="2" priority="4">
      <formula>AND(D3&lt;&gt;"",$C3="Hương")</formula>
    </cfRule>
    <cfRule type="expression" dxfId="1" priority="5">
      <formula>AND(D3&lt;&gt;"",$C3="Ân")</formula>
    </cfRule>
    <cfRule type="expression" dxfId="0" priority="6">
      <formula>AND(D3&lt;&gt;"",$C3="Khôi")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workbookViewId="0"/>
  </sheetViews>
  <sheetFormatPr defaultRowHeight="14.5" x14ac:dyDescent="0.35"/>
  <cols>
    <col min="1" max="1" width="12" customWidth="1"/>
    <col min="2" max="2" width="9" customWidth="1"/>
    <col min="3" max="3" width="12" customWidth="1"/>
    <col min="4" max="4" width="10" customWidth="1"/>
    <col min="5" max="6" width="12" customWidth="1"/>
    <col min="7" max="7" width="13" customWidth="1"/>
    <col min="8" max="8" width="16" customWidth="1"/>
    <col min="9" max="9" width="70" customWidth="1"/>
  </cols>
  <sheetData>
    <row r="1" spans="1:9" ht="26" x14ac:dyDescent="0.35">
      <c r="A1" s="4" t="s">
        <v>209</v>
      </c>
      <c r="B1" s="4" t="s">
        <v>210</v>
      </c>
      <c r="C1" s="4" t="s">
        <v>211</v>
      </c>
      <c r="D1" s="4" t="s">
        <v>212</v>
      </c>
      <c r="E1" s="4" t="s">
        <v>213</v>
      </c>
      <c r="F1" s="4" t="s">
        <v>214</v>
      </c>
      <c r="G1" s="4" t="s">
        <v>215</v>
      </c>
      <c r="H1" s="4" t="s">
        <v>216</v>
      </c>
      <c r="I1" s="4" t="s">
        <v>217</v>
      </c>
    </row>
    <row r="2" spans="1:9" x14ac:dyDescent="0.35">
      <c r="A2" s="20" t="s">
        <v>33</v>
      </c>
      <c r="B2" s="5">
        <f>COUNTIF('Phân công'!$G$2:$G$94,A2)</f>
        <v>9</v>
      </c>
      <c r="C2" s="5">
        <f>COUNTIFS('Phân công'!$G$2:$G$94,A2,'Phân công'!$I$2:$I$94,"Cao")</f>
        <v>2</v>
      </c>
      <c r="D2" s="5">
        <f>SUMIF('Phân công'!$G$2:$G$94,A2,'Phân công'!$J$2:$J$94)</f>
        <v>51</v>
      </c>
      <c r="E2" s="5">
        <f>SUMIFS('Phân công'!$J$2:$J$94,'Phân công'!$G$2:$G$94,A2,'Phân công'!$L$2:$L$94,"Xong")</f>
        <v>18</v>
      </c>
      <c r="F2" s="5">
        <f t="shared" ref="F2:F7" si="0">D2-E2</f>
        <v>33</v>
      </c>
      <c r="G2" s="21">
        <f t="shared" ref="G2:G8" si="1">IF(D2=0,0,E2/D2)</f>
        <v>0.35294117647058826</v>
      </c>
      <c r="H2" s="22">
        <f t="shared" ref="H2:H7" si="2">IF($D$8=0,0,D2/$D$8)</f>
        <v>0.19391634980988592</v>
      </c>
      <c r="I2" s="7" t="s">
        <v>218</v>
      </c>
    </row>
    <row r="3" spans="1:9" x14ac:dyDescent="0.35">
      <c r="A3" s="23" t="s">
        <v>72</v>
      </c>
      <c r="B3" s="5">
        <f>COUNTIF('Phân công'!$G$2:$G$94,A3)</f>
        <v>7</v>
      </c>
      <c r="C3" s="5">
        <f>COUNTIFS('Phân công'!$G$2:$G$94,A3,'Phân công'!$I$2:$I$94,"Cao")</f>
        <v>5</v>
      </c>
      <c r="D3" s="5">
        <f>SUMIF('Phân công'!$G$2:$G$94,A3,'Phân công'!$J$2:$J$94)</f>
        <v>45</v>
      </c>
      <c r="E3" s="5">
        <f>SUMIFS('Phân công'!$J$2:$J$94,'Phân công'!$G$2:$G$94,A3,'Phân công'!$L$2:$L$94,"Xong")</f>
        <v>0</v>
      </c>
      <c r="F3" s="5">
        <f t="shared" si="0"/>
        <v>45</v>
      </c>
      <c r="G3" s="21">
        <f t="shared" si="1"/>
        <v>0</v>
      </c>
      <c r="H3" s="22">
        <f t="shared" si="2"/>
        <v>0.17110266159695817</v>
      </c>
      <c r="I3" s="7" t="s">
        <v>219</v>
      </c>
    </row>
    <row r="4" spans="1:9" ht="25" x14ac:dyDescent="0.35">
      <c r="A4" s="24" t="s">
        <v>71</v>
      </c>
      <c r="B4" s="5">
        <f>COUNTIF('Phân công'!$G$2:$G$94,A4)</f>
        <v>5</v>
      </c>
      <c r="C4" s="5">
        <f>COUNTIFS('Phân công'!$G$2:$G$94,A4,'Phân công'!$I$2:$I$94,"Cao")</f>
        <v>4</v>
      </c>
      <c r="D4" s="5">
        <f>SUMIF('Phân công'!$G$2:$G$94,A4,'Phân công'!$J$2:$J$94)</f>
        <v>40</v>
      </c>
      <c r="E4" s="5">
        <f>SUMIFS('Phân công'!$J$2:$J$94,'Phân công'!$G$2:$G$94,A4,'Phân công'!$L$2:$L$94,"Xong")</f>
        <v>0</v>
      </c>
      <c r="F4" s="5">
        <f t="shared" si="0"/>
        <v>40</v>
      </c>
      <c r="G4" s="21">
        <f t="shared" si="1"/>
        <v>0</v>
      </c>
      <c r="H4" s="22">
        <f t="shared" si="2"/>
        <v>0.15209125475285171</v>
      </c>
      <c r="I4" s="7" t="s">
        <v>220</v>
      </c>
    </row>
    <row r="5" spans="1:9" x14ac:dyDescent="0.35">
      <c r="A5" s="25" t="s">
        <v>46</v>
      </c>
      <c r="B5" s="5">
        <f>COUNTIF('Phân công'!$G$2:$G$94,A5)</f>
        <v>10</v>
      </c>
      <c r="C5" s="5">
        <f>COUNTIFS('Phân công'!$G$2:$G$94,A5,'Phân công'!$I$2:$I$94,"Cao")</f>
        <v>0</v>
      </c>
      <c r="D5" s="5">
        <f>SUMIF('Phân công'!$G$2:$G$94,A5,'Phân công'!$J$2:$J$94)</f>
        <v>45</v>
      </c>
      <c r="E5" s="5">
        <f>SUMIFS('Phân công'!$J$2:$J$94,'Phân công'!$G$2:$G$94,A5,'Phân công'!$L$2:$L$94,"Xong")</f>
        <v>3</v>
      </c>
      <c r="F5" s="5">
        <f t="shared" si="0"/>
        <v>42</v>
      </c>
      <c r="G5" s="21">
        <f t="shared" si="1"/>
        <v>6.6666666666666666E-2</v>
      </c>
      <c r="H5" s="22">
        <f t="shared" si="2"/>
        <v>0.17110266159695817</v>
      </c>
      <c r="I5" s="7" t="s">
        <v>221</v>
      </c>
    </row>
    <row r="6" spans="1:9" ht="25" x14ac:dyDescent="0.35">
      <c r="A6" s="26" t="s">
        <v>66</v>
      </c>
      <c r="B6" s="5">
        <f>COUNTIF('Phân công'!$G$2:$G$94,A6)</f>
        <v>6</v>
      </c>
      <c r="C6" s="5">
        <f>COUNTIFS('Phân công'!$G$2:$G$94,A6,'Phân công'!$I$2:$I$94,"Cao")</f>
        <v>5</v>
      </c>
      <c r="D6" s="5">
        <f>SUMIF('Phân công'!$G$2:$G$94,A6,'Phân công'!$J$2:$J$94)</f>
        <v>42</v>
      </c>
      <c r="E6" s="5">
        <f>SUMIFS('Phân công'!$J$2:$J$94,'Phân công'!$G$2:$G$94,A6,'Phân công'!$L$2:$L$94,"Xong")</f>
        <v>0</v>
      </c>
      <c r="F6" s="5">
        <f t="shared" si="0"/>
        <v>42</v>
      </c>
      <c r="G6" s="21">
        <f t="shared" si="1"/>
        <v>0</v>
      </c>
      <c r="H6" s="22">
        <f t="shared" si="2"/>
        <v>0.1596958174904943</v>
      </c>
      <c r="I6" s="7" t="s">
        <v>222</v>
      </c>
    </row>
    <row r="7" spans="1:9" x14ac:dyDescent="0.35">
      <c r="A7" s="27" t="s">
        <v>56</v>
      </c>
      <c r="B7" s="5">
        <f>COUNTIF('Phân công'!$G$2:$G$94,A7)</f>
        <v>6</v>
      </c>
      <c r="C7" s="5">
        <f>COUNTIFS('Phân công'!$G$2:$G$94,A7,'Phân công'!$I$2:$I$94,"Cao")</f>
        <v>4</v>
      </c>
      <c r="D7" s="5">
        <f>SUMIF('Phân công'!$G$2:$G$94,A7,'Phân công'!$J$2:$J$94)</f>
        <v>40</v>
      </c>
      <c r="E7" s="5">
        <f>SUMIFS('Phân công'!$J$2:$J$94,'Phân công'!$G$2:$G$94,A7,'Phân công'!$L$2:$L$94,"Xong")</f>
        <v>0</v>
      </c>
      <c r="F7" s="5">
        <f t="shared" si="0"/>
        <v>40</v>
      </c>
      <c r="G7" s="21">
        <f t="shared" si="1"/>
        <v>0</v>
      </c>
      <c r="H7" s="22">
        <f t="shared" si="2"/>
        <v>0.15209125475285171</v>
      </c>
      <c r="I7" s="7" t="s">
        <v>223</v>
      </c>
    </row>
    <row r="8" spans="1:9" x14ac:dyDescent="0.35">
      <c r="A8" s="28" t="s">
        <v>224</v>
      </c>
      <c r="B8" s="28">
        <f>SUM(B2:B7)</f>
        <v>43</v>
      </c>
      <c r="C8" s="28">
        <f>SUM(C2:C7)</f>
        <v>20</v>
      </c>
      <c r="D8" s="28">
        <f>SUM(D2:D7)</f>
        <v>263</v>
      </c>
      <c r="E8" s="28">
        <f>SUM(E2:E7)</f>
        <v>21</v>
      </c>
      <c r="F8" s="28">
        <f>SUM(F2:F7)</f>
        <v>242</v>
      </c>
      <c r="G8" s="29">
        <f t="shared" si="1"/>
        <v>7.9847908745247151E-2</v>
      </c>
      <c r="H8" s="30">
        <f>SUM(H2:H7)</f>
        <v>1</v>
      </c>
      <c r="I8" s="28"/>
    </row>
    <row r="10" spans="1:9" x14ac:dyDescent="0.35">
      <c r="A10" s="31" t="s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5" x14ac:dyDescent="0.35"/>
  <cols>
    <col min="1" max="1" width="10" customWidth="1"/>
    <col min="2" max="2" width="24" customWidth="1"/>
    <col min="3" max="3" width="12" customWidth="1"/>
    <col min="4" max="4" width="28" customWidth="1"/>
    <col min="5" max="5" width="80" customWidth="1"/>
  </cols>
  <sheetData>
    <row r="1" spans="1:5" x14ac:dyDescent="0.35">
      <c r="A1" s="4" t="s">
        <v>226</v>
      </c>
      <c r="B1" s="4" t="s">
        <v>227</v>
      </c>
      <c r="C1" s="4" t="s">
        <v>228</v>
      </c>
      <c r="D1" s="4" t="s">
        <v>229</v>
      </c>
      <c r="E1" s="4" t="s">
        <v>217</v>
      </c>
    </row>
    <row r="2" spans="1:5" x14ac:dyDescent="0.35">
      <c r="A2" s="7" t="s">
        <v>33</v>
      </c>
      <c r="B2" s="7" t="s">
        <v>203</v>
      </c>
      <c r="C2" s="7" t="s">
        <v>230</v>
      </c>
      <c r="D2" s="7" t="s">
        <v>231</v>
      </c>
      <c r="E2" s="7" t="s">
        <v>218</v>
      </c>
    </row>
    <row r="3" spans="1:5" x14ac:dyDescent="0.35">
      <c r="A3" s="7" t="s">
        <v>72</v>
      </c>
      <c r="B3" s="7" t="s">
        <v>204</v>
      </c>
      <c r="C3" s="7" t="s">
        <v>232</v>
      </c>
      <c r="D3" s="7" t="s">
        <v>233</v>
      </c>
      <c r="E3" s="7" t="s">
        <v>219</v>
      </c>
    </row>
    <row r="4" spans="1:5" x14ac:dyDescent="0.35">
      <c r="A4" s="7" t="s">
        <v>71</v>
      </c>
      <c r="B4" s="7" t="s">
        <v>205</v>
      </c>
      <c r="C4" s="7" t="s">
        <v>234</v>
      </c>
      <c r="D4" s="7" t="s">
        <v>235</v>
      </c>
      <c r="E4" s="7" t="s">
        <v>220</v>
      </c>
    </row>
    <row r="5" spans="1:5" x14ac:dyDescent="0.35">
      <c r="A5" s="7" t="s">
        <v>46</v>
      </c>
      <c r="B5" s="7" t="s">
        <v>206</v>
      </c>
      <c r="C5" s="7" t="s">
        <v>236</v>
      </c>
      <c r="D5" s="7" t="s">
        <v>237</v>
      </c>
      <c r="E5" s="7" t="s">
        <v>221</v>
      </c>
    </row>
    <row r="6" spans="1:5" x14ac:dyDescent="0.35">
      <c r="A6" s="7" t="s">
        <v>66</v>
      </c>
      <c r="B6" s="7" t="s">
        <v>207</v>
      </c>
      <c r="C6" s="7" t="s">
        <v>238</v>
      </c>
      <c r="D6" s="7" t="s">
        <v>239</v>
      </c>
      <c r="E6" s="7" t="s">
        <v>222</v>
      </c>
    </row>
    <row r="7" spans="1:5" x14ac:dyDescent="0.35">
      <c r="A7" s="7" t="s">
        <v>56</v>
      </c>
      <c r="B7" s="7" t="s">
        <v>208</v>
      </c>
      <c r="C7" s="7" t="s">
        <v>240</v>
      </c>
      <c r="D7" s="7" t="s">
        <v>241</v>
      </c>
      <c r="E7" s="7" t="s">
        <v>223</v>
      </c>
    </row>
    <row r="9" spans="1:5" x14ac:dyDescent="0.35">
      <c r="A9" s="31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 dẫn</vt:lpstr>
      <vt:lpstr>Phân công</vt:lpstr>
      <vt:lpstr>Timeline</vt:lpstr>
      <vt:lpstr>Tổng hợp</vt:lpstr>
      <vt:lpstr>Thành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Gia Bảo</cp:lastModifiedBy>
  <dcterms:created xsi:type="dcterms:W3CDTF">2026-10-11T04:49:00Z</dcterms:created>
  <dcterms:modified xsi:type="dcterms:W3CDTF">2026-10-11T04:49:08Z</dcterms:modified>
</cp:coreProperties>
</file>